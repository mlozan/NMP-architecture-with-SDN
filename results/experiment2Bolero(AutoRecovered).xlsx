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za\thesis-NMP-SDN\matlab\experiment 2\"/>
    </mc:Choice>
  </mc:AlternateContent>
  <xr:revisionPtr revIDLastSave="0" documentId="13_ncr:1_{1350607C-8F83-41B8-895E-AD6D75D80130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K5" i="1"/>
  <c r="J5" i="1"/>
  <c r="I5" i="1"/>
  <c r="H5" i="1"/>
</calcChain>
</file>

<file path=xl/sharedStrings.xml><?xml version="1.0" encoding="utf-8"?>
<sst xmlns="http://schemas.openxmlformats.org/spreadsheetml/2006/main" count="12" uniqueCount="12">
  <si>
    <t>Time_s</t>
  </si>
  <si>
    <t>Delay_ms</t>
  </si>
  <si>
    <t>Jitter_ms</t>
  </si>
  <si>
    <t>Loss_pct</t>
  </si>
  <si>
    <t>D_ms</t>
  </si>
  <si>
    <t>QoE</t>
  </si>
  <si>
    <t>QoE average per phases</t>
  </si>
  <si>
    <t>Baseline</t>
  </si>
  <si>
    <t>Medium</t>
  </si>
  <si>
    <t>Heavy</t>
  </si>
  <si>
    <t>Recovery</t>
  </si>
  <si>
    <t>Rerouting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</si>
</sst>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3F3F3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3" borderId="0" applyNumberFormat="0" applyBorder="0" applyAlignment="0" applyProtection="0"/>
    <xf numFmtId="0" fontId="3" fillId="2" borderId="3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2" xfId="1" applyAlignment="1">
      <alignment horizontal="center"/>
    </xf>
    <xf numFmtId="0" fontId="2" fillId="3" borderId="0" xfId="2"/>
    <xf numFmtId="0" fontId="3" fillId="2" borderId="3" xfId="3"/>
  </cellXfs>
  <cellStyles count="4">
    <cellStyle name="Calculation" xfId="3" builtinId="22"/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topLeftCell="B1" zoomScale="82" workbookViewId="0">
      <selection activeCell="I14" sqref="I14"/>
    </sheetView>
  </sheetViews>
  <sheetFormatPr defaultRowHeight="14.5" x14ac:dyDescent="0.35"/>
  <cols>
    <col min="1" max="1" width="11.453125" customWidth="1"/>
    <col min="2" max="2" width="9" customWidth="1"/>
    <col min="3" max="3" width="8.453125" customWidth="1"/>
    <col min="4" max="4" width="8" customWidth="1"/>
    <col min="5" max="5" width="6.453125" customWidth="1"/>
    <col min="6" max="6" width="12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5">
      <c r="A2">
        <v>1.4263310432434082</v>
      </c>
      <c r="B2">
        <v>6.4899999999999999E-2</v>
      </c>
      <c r="C2">
        <v>1.0000000000000002E-2</v>
      </c>
      <c r="D2">
        <v>0</v>
      </c>
      <c r="E2">
        <v>7.4899999999999994E-2</v>
      </c>
      <c r="F2">
        <v>0.99772046959188299</v>
      </c>
    </row>
    <row r="3" spans="1:11" x14ac:dyDescent="0.35">
      <c r="A3">
        <v>1.4882767200469971</v>
      </c>
      <c r="B3">
        <v>7.4099999999999999E-2</v>
      </c>
      <c r="C3">
        <v>1.7999999999999995E-2</v>
      </c>
      <c r="D3">
        <v>0</v>
      </c>
      <c r="E3">
        <v>9.2099999999999987E-2</v>
      </c>
      <c r="F3">
        <v>0.99719699932459838</v>
      </c>
      <c r="H3" s="3" t="s">
        <v>6</v>
      </c>
      <c r="I3" s="3"/>
      <c r="J3" s="3"/>
      <c r="K3" s="3"/>
    </row>
    <row r="4" spans="1:11" x14ac:dyDescent="0.35">
      <c r="A4">
        <v>2.5050628185272217</v>
      </c>
      <c r="B4">
        <v>7.2800000000000004E-2</v>
      </c>
      <c r="C4">
        <v>1.4999999999999999E-2</v>
      </c>
      <c r="D4">
        <v>0</v>
      </c>
      <c r="E4">
        <v>8.7800000000000003E-2</v>
      </c>
      <c r="F4">
        <v>0.9973278668914195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>
        <v>3.5593278408050537</v>
      </c>
      <c r="B5">
        <v>0.38919999999999999</v>
      </c>
      <c r="C5">
        <v>2.0999999999999998E-2</v>
      </c>
      <c r="D5">
        <v>0</v>
      </c>
      <c r="E5">
        <v>0.41020000000000001</v>
      </c>
      <c r="F5">
        <v>0.98751584281162075</v>
      </c>
      <c r="H5" s="1">
        <f>AVERAGEIFS(F:F,A:A,"&lt;44")</f>
        <v>0.99499258634648557</v>
      </c>
      <c r="I5" s="1">
        <f>AVERAGEIFS(F:F,A:A,"&gt;=44",A:A,"&lt;104")</f>
        <v>0.76993684648296312</v>
      </c>
      <c r="J5" s="1">
        <f>AVERAGEIFS(F:F,A:A,"&gt;=104",A:A,"&lt;134")</f>
        <v>0.78818465478868815</v>
      </c>
      <c r="K5" s="1">
        <f>AVERAGEIFS(F:F,A:A,"&gt;=134")</f>
        <v>0.99707546494858923</v>
      </c>
    </row>
    <row r="6" spans="1:11" x14ac:dyDescent="0.35">
      <c r="A6">
        <v>4.3576741218566895</v>
      </c>
      <c r="B6">
        <v>8.3900000000000002E-2</v>
      </c>
      <c r="C6">
        <v>1.9000000000000003E-2</v>
      </c>
      <c r="D6">
        <v>0</v>
      </c>
      <c r="E6">
        <v>0.10290000000000001</v>
      </c>
      <c r="F6">
        <v>0.99686830869165233</v>
      </c>
    </row>
    <row r="7" spans="1:11" x14ac:dyDescent="0.35">
      <c r="A7">
        <v>5.5340428352355957</v>
      </c>
      <c r="B7">
        <v>0.13679999999999998</v>
      </c>
      <c r="C7">
        <v>4.0000000000000008E-2</v>
      </c>
      <c r="D7">
        <v>0</v>
      </c>
      <c r="E7">
        <v>0.17679999999999998</v>
      </c>
      <c r="F7">
        <v>0.99461921260140063</v>
      </c>
    </row>
    <row r="8" spans="1:11" x14ac:dyDescent="0.35">
      <c r="A8">
        <v>6.3380978107452393</v>
      </c>
      <c r="B8">
        <v>8.4400000000000003E-2</v>
      </c>
      <c r="C8">
        <v>1.3999999999999999E-2</v>
      </c>
      <c r="D8">
        <v>0</v>
      </c>
      <c r="E8">
        <v>9.8400000000000001E-2</v>
      </c>
      <c r="F8">
        <v>0.99700526312204651</v>
      </c>
      <c r="H8" t="s">
        <v>11</v>
      </c>
    </row>
    <row r="9" spans="1:11" x14ac:dyDescent="0.35">
      <c r="A9">
        <v>7.2693378925323486</v>
      </c>
      <c r="B9">
        <v>9.8000000000000004E-2</v>
      </c>
      <c r="C9">
        <v>1.7000000000000008E-2</v>
      </c>
      <c r="D9">
        <v>0</v>
      </c>
      <c r="E9">
        <v>0.11500000000000002</v>
      </c>
      <c r="F9">
        <v>0.9965000534454812</v>
      </c>
      <c r="H9">
        <f>(A125)-(A79)</f>
        <v>46.000550031661987</v>
      </c>
    </row>
    <row r="10" spans="1:11" x14ac:dyDescent="0.35">
      <c r="A10">
        <v>8.3238258361816406</v>
      </c>
      <c r="B10">
        <v>0.11120000000000001</v>
      </c>
      <c r="C10">
        <v>3.7999999999999999E-2</v>
      </c>
      <c r="D10">
        <v>0</v>
      </c>
      <c r="E10">
        <v>0.1492</v>
      </c>
      <c r="F10">
        <v>0.99545919977448516</v>
      </c>
      <c r="H10">
        <f>(A79)-(A48)</f>
        <v>21.352153778076172</v>
      </c>
    </row>
    <row r="11" spans="1:11" x14ac:dyDescent="0.35">
      <c r="A11">
        <v>9.3687469959259033</v>
      </c>
      <c r="B11">
        <v>0.10669999999999999</v>
      </c>
      <c r="C11">
        <v>7.8E-2</v>
      </c>
      <c r="D11">
        <v>0</v>
      </c>
      <c r="E11">
        <v>0.18469999999999998</v>
      </c>
      <c r="F11">
        <v>0.99437878149026415</v>
      </c>
      <c r="H11">
        <f>(A48)-(A46)</f>
        <v>11.949978113174438</v>
      </c>
    </row>
    <row r="12" spans="1:11" x14ac:dyDescent="0.35">
      <c r="A12">
        <v>10.323092937469482</v>
      </c>
      <c r="B12">
        <v>0.12090000000000001</v>
      </c>
      <c r="C12">
        <v>7.3999999999999996E-2</v>
      </c>
      <c r="D12">
        <v>0</v>
      </c>
      <c r="E12">
        <v>0.19490000000000002</v>
      </c>
      <c r="F12">
        <v>0.99406835144803729</v>
      </c>
      <c r="H12" s="5">
        <f>AVERAGE(H9:H11)</f>
        <v>26.434227307637531</v>
      </c>
    </row>
    <row r="13" spans="1:11" x14ac:dyDescent="0.35">
      <c r="A13">
        <v>11.34443998336792</v>
      </c>
      <c r="B13">
        <v>9.9900000000000003E-2</v>
      </c>
      <c r="C13">
        <v>6.0000000000000005E-2</v>
      </c>
      <c r="D13">
        <v>0</v>
      </c>
      <c r="E13">
        <v>0.15990000000000001</v>
      </c>
      <c r="F13">
        <v>0.99513355257332559</v>
      </c>
      <c r="K13" s="2"/>
    </row>
    <row r="14" spans="1:11" x14ac:dyDescent="0.35">
      <c r="A14">
        <v>12.285770893096924</v>
      </c>
      <c r="B14">
        <v>0.16830000000000001</v>
      </c>
      <c r="C14">
        <v>4.2999999999999997E-2</v>
      </c>
      <c r="D14">
        <v>0</v>
      </c>
      <c r="E14">
        <v>0.21129999999999999</v>
      </c>
      <c r="F14">
        <v>0.99356922863504504</v>
      </c>
    </row>
    <row r="15" spans="1:11" x14ac:dyDescent="0.35">
      <c r="A15">
        <v>13.299762010574341</v>
      </c>
      <c r="B15">
        <v>8.6900000000000005E-2</v>
      </c>
      <c r="C15">
        <v>2.6000000000000002E-2</v>
      </c>
      <c r="D15">
        <v>0</v>
      </c>
      <c r="E15">
        <v>0.1129</v>
      </c>
      <c r="F15">
        <v>0.99656396551299853</v>
      </c>
    </row>
    <row r="16" spans="1:11" x14ac:dyDescent="0.35">
      <c r="A16">
        <v>14.356795787811279</v>
      </c>
      <c r="B16">
        <v>0.1145</v>
      </c>
      <c r="C16">
        <v>4.9000000000000002E-2</v>
      </c>
      <c r="D16">
        <v>0</v>
      </c>
      <c r="E16">
        <v>0.16350000000000001</v>
      </c>
      <c r="F16">
        <v>0.99502398902901024</v>
      </c>
    </row>
    <row r="17" spans="1:6" x14ac:dyDescent="0.35">
      <c r="A17">
        <v>15.286795854568481</v>
      </c>
      <c r="B17">
        <v>0.1615</v>
      </c>
      <c r="C17">
        <v>7.3000000000000009E-2</v>
      </c>
      <c r="D17">
        <v>0</v>
      </c>
      <c r="E17">
        <v>0.23450000000000001</v>
      </c>
      <c r="F17">
        <v>0.99286315246056811</v>
      </c>
    </row>
    <row r="18" spans="1:6" x14ac:dyDescent="0.35">
      <c r="A18">
        <v>16.329591035842896</v>
      </c>
      <c r="B18">
        <v>0.1203</v>
      </c>
      <c r="C18">
        <v>2.1000000000000005E-2</v>
      </c>
      <c r="D18">
        <v>0</v>
      </c>
      <c r="E18">
        <v>0.14130000000000001</v>
      </c>
      <c r="F18">
        <v>0.99569963088562163</v>
      </c>
    </row>
    <row r="19" spans="1:6" x14ac:dyDescent="0.35">
      <c r="A19">
        <v>17.369955062866211</v>
      </c>
      <c r="B19">
        <v>9.4099999999999989E-2</v>
      </c>
      <c r="C19">
        <v>1.7000000000000001E-2</v>
      </c>
      <c r="D19">
        <v>0</v>
      </c>
      <c r="E19">
        <v>0.11109999999999999</v>
      </c>
      <c r="F19">
        <v>0.9966187472851562</v>
      </c>
    </row>
    <row r="20" spans="1:6" x14ac:dyDescent="0.35">
      <c r="A20">
        <v>18.330971956253052</v>
      </c>
      <c r="B20">
        <v>0.16589999999999999</v>
      </c>
      <c r="C20">
        <v>0.111</v>
      </c>
      <c r="D20">
        <v>0</v>
      </c>
      <c r="E20">
        <v>0.27689999999999998</v>
      </c>
      <c r="F20">
        <v>0.99157273738307594</v>
      </c>
    </row>
    <row r="21" spans="1:6" x14ac:dyDescent="0.35">
      <c r="A21">
        <v>19.362137794494629</v>
      </c>
      <c r="B21">
        <v>6.83E-2</v>
      </c>
      <c r="C21">
        <v>2.0999999999999991E-2</v>
      </c>
      <c r="D21">
        <v>0</v>
      </c>
      <c r="E21">
        <v>8.929999999999999E-2</v>
      </c>
      <c r="F21">
        <v>0.99728221541462148</v>
      </c>
    </row>
    <row r="22" spans="1:6" x14ac:dyDescent="0.35">
      <c r="A22">
        <v>20.284043788909912</v>
      </c>
      <c r="B22">
        <v>6.7400000000000002E-2</v>
      </c>
      <c r="C22">
        <v>8.9999999999999941E-3</v>
      </c>
      <c r="D22">
        <v>0</v>
      </c>
      <c r="E22">
        <v>7.6399999999999996E-2</v>
      </c>
      <c r="F22">
        <v>0.99767481811508485</v>
      </c>
    </row>
    <row r="23" spans="1:6" x14ac:dyDescent="0.35">
      <c r="A23">
        <v>21.327712774276733</v>
      </c>
      <c r="B23">
        <v>9.1600000000000001E-2</v>
      </c>
      <c r="C23">
        <v>4.1000000000000002E-2</v>
      </c>
      <c r="D23">
        <v>0</v>
      </c>
      <c r="E23">
        <v>0.1326</v>
      </c>
      <c r="F23">
        <v>0.99596440945105047</v>
      </c>
    </row>
    <row r="24" spans="1:6" x14ac:dyDescent="0.35">
      <c r="A24">
        <v>22.376564979553223</v>
      </c>
      <c r="B24">
        <v>9.0700000000000003E-2</v>
      </c>
      <c r="C24">
        <v>1.2999999999999998E-2</v>
      </c>
      <c r="D24">
        <v>0</v>
      </c>
      <c r="E24">
        <v>0.1037</v>
      </c>
      <c r="F24">
        <v>0.99684396123735997</v>
      </c>
    </row>
    <row r="25" spans="1:6" x14ac:dyDescent="0.35">
      <c r="A25">
        <v>23.330750942230225</v>
      </c>
      <c r="B25">
        <v>0.14530000000000001</v>
      </c>
      <c r="C25">
        <v>7.7000000000000013E-2</v>
      </c>
      <c r="D25">
        <v>0</v>
      </c>
      <c r="E25">
        <v>0.22230000000000003</v>
      </c>
      <c r="F25">
        <v>0.99323445113852582</v>
      </c>
    </row>
    <row r="26" spans="1:6" x14ac:dyDescent="0.35">
      <c r="A26">
        <v>24.371510982513428</v>
      </c>
      <c r="B26">
        <v>0.1192</v>
      </c>
      <c r="C26">
        <v>5.4000000000000006E-2</v>
      </c>
      <c r="D26">
        <v>0</v>
      </c>
      <c r="E26">
        <v>0.17320000000000002</v>
      </c>
      <c r="F26">
        <v>0.99472877614571598</v>
      </c>
    </row>
    <row r="27" spans="1:6" x14ac:dyDescent="0.35">
      <c r="A27">
        <v>25.298634052276611</v>
      </c>
      <c r="B27">
        <v>0.12210000000000001</v>
      </c>
      <c r="C27">
        <v>4.1000000000000009E-2</v>
      </c>
      <c r="D27">
        <v>0</v>
      </c>
      <c r="E27">
        <v>0.16310000000000002</v>
      </c>
      <c r="F27">
        <v>0.99503616275615636</v>
      </c>
    </row>
    <row r="28" spans="1:6" x14ac:dyDescent="0.35">
      <c r="A28">
        <v>26.360867738723755</v>
      </c>
      <c r="B28">
        <v>0.12959999999999999</v>
      </c>
      <c r="C28">
        <v>7.4999999999999997E-2</v>
      </c>
      <c r="D28">
        <v>0</v>
      </c>
      <c r="E28">
        <v>0.2046</v>
      </c>
      <c r="F28">
        <v>0.99377313856474303</v>
      </c>
    </row>
    <row r="29" spans="1:6" x14ac:dyDescent="0.35">
      <c r="A29">
        <v>27.308324813842773</v>
      </c>
      <c r="B29">
        <v>6.7900000000000002E-2</v>
      </c>
      <c r="C29">
        <v>2.1000000000000005E-2</v>
      </c>
      <c r="D29">
        <v>0</v>
      </c>
      <c r="E29">
        <v>8.8900000000000007E-2</v>
      </c>
      <c r="F29">
        <v>0.9972943891417676</v>
      </c>
    </row>
    <row r="30" spans="1:6" x14ac:dyDescent="0.35">
      <c r="A30">
        <v>28.338810920715332</v>
      </c>
      <c r="B30">
        <v>8.7599999999999997E-2</v>
      </c>
      <c r="C30">
        <v>3.1000000000000007E-2</v>
      </c>
      <c r="D30">
        <v>0</v>
      </c>
      <c r="E30">
        <v>0.11860000000000001</v>
      </c>
      <c r="F30">
        <v>0.99639048990116585</v>
      </c>
    </row>
    <row r="31" spans="1:6" x14ac:dyDescent="0.35">
      <c r="A31">
        <v>29.36415696144104</v>
      </c>
      <c r="B31">
        <v>0.11890000000000001</v>
      </c>
      <c r="C31">
        <v>2.5999999999999995E-2</v>
      </c>
      <c r="D31">
        <v>0</v>
      </c>
      <c r="E31">
        <v>0.1449</v>
      </c>
      <c r="F31">
        <v>0.99559006734130628</v>
      </c>
    </row>
    <row r="32" spans="1:6" x14ac:dyDescent="0.35">
      <c r="A32">
        <v>30.488285779953003</v>
      </c>
      <c r="B32">
        <v>0.60359999999999991</v>
      </c>
      <c r="C32">
        <v>0.17499999999999999</v>
      </c>
      <c r="D32">
        <v>0</v>
      </c>
      <c r="E32">
        <v>0.77859999999999996</v>
      </c>
      <c r="F32">
        <v>0.97630384011001436</v>
      </c>
    </row>
    <row r="33" spans="1:6" x14ac:dyDescent="0.35">
      <c r="A33">
        <v>31.393632888793945</v>
      </c>
      <c r="B33">
        <v>0.12740000000000001</v>
      </c>
      <c r="C33">
        <v>3.4000000000000002E-2</v>
      </c>
      <c r="D33">
        <v>0</v>
      </c>
      <c r="E33">
        <v>0.16140000000000002</v>
      </c>
      <c r="F33">
        <v>0.99508790109652745</v>
      </c>
    </row>
    <row r="34" spans="1:6" x14ac:dyDescent="0.35">
      <c r="A34">
        <v>32.502447843551636</v>
      </c>
      <c r="B34">
        <v>9.6500000000000002E-2</v>
      </c>
      <c r="C34">
        <v>2.3999999999999994E-2</v>
      </c>
      <c r="D34">
        <v>0</v>
      </c>
      <c r="E34">
        <v>0.1205</v>
      </c>
      <c r="F34">
        <v>0.99633266469722159</v>
      </c>
    </row>
    <row r="35" spans="1:6" x14ac:dyDescent="0.35">
      <c r="A35">
        <v>33.458244800567627</v>
      </c>
      <c r="B35">
        <v>7.9200000000000007E-2</v>
      </c>
      <c r="C35">
        <v>1.9000000000000003E-2</v>
      </c>
      <c r="D35">
        <v>0</v>
      </c>
      <c r="E35">
        <v>9.820000000000001E-2</v>
      </c>
      <c r="F35">
        <v>0.99701134998561958</v>
      </c>
    </row>
    <row r="36" spans="1:6" x14ac:dyDescent="0.35">
      <c r="A36">
        <v>34.372318744659424</v>
      </c>
      <c r="B36">
        <v>0.1038</v>
      </c>
      <c r="C36">
        <v>2.0999999999999991E-2</v>
      </c>
      <c r="D36">
        <v>0</v>
      </c>
      <c r="E36">
        <v>0.12479999999999999</v>
      </c>
      <c r="F36">
        <v>0.99620179713040047</v>
      </c>
    </row>
    <row r="37" spans="1:6" x14ac:dyDescent="0.35">
      <c r="A37">
        <v>35.403207063674927</v>
      </c>
      <c r="B37">
        <v>8.0699999999999994E-2</v>
      </c>
      <c r="C37">
        <v>2.3E-2</v>
      </c>
      <c r="D37">
        <v>0</v>
      </c>
      <c r="E37">
        <v>0.10369999999999999</v>
      </c>
      <c r="F37">
        <v>0.99684396123735997</v>
      </c>
    </row>
    <row r="38" spans="1:6" x14ac:dyDescent="0.35">
      <c r="A38">
        <v>36.314366817474365</v>
      </c>
      <c r="B38">
        <v>9.4299999999999995E-2</v>
      </c>
      <c r="C38">
        <v>5.7000000000000023E-2</v>
      </c>
      <c r="D38">
        <v>0</v>
      </c>
      <c r="E38">
        <v>0.15130000000000002</v>
      </c>
      <c r="F38">
        <v>0.99539528770696784</v>
      </c>
    </row>
    <row r="39" spans="1:6" x14ac:dyDescent="0.35">
      <c r="A39">
        <v>37.372769832611084</v>
      </c>
      <c r="B39">
        <v>0.1103</v>
      </c>
      <c r="C39">
        <v>0.06</v>
      </c>
      <c r="D39">
        <v>0</v>
      </c>
      <c r="E39">
        <v>0.17030000000000001</v>
      </c>
      <c r="F39">
        <v>0.99481703566752566</v>
      </c>
    </row>
    <row r="40" spans="1:6" x14ac:dyDescent="0.35">
      <c r="A40">
        <v>38.808283805847168</v>
      </c>
      <c r="B40">
        <v>0.1028</v>
      </c>
      <c r="C40">
        <v>2.7999999999999997E-2</v>
      </c>
      <c r="D40">
        <v>0</v>
      </c>
      <c r="E40">
        <v>0.1308</v>
      </c>
      <c r="F40">
        <v>0.99601919122320814</v>
      </c>
    </row>
    <row r="41" spans="1:6" x14ac:dyDescent="0.35">
      <c r="A41">
        <v>39.769558668136597</v>
      </c>
      <c r="B41">
        <v>9.6100000000000005E-2</v>
      </c>
      <c r="C41">
        <v>2.1000000000000005E-2</v>
      </c>
      <c r="D41">
        <v>0</v>
      </c>
      <c r="E41">
        <v>0.11710000000000001</v>
      </c>
      <c r="F41">
        <v>0.99643614137796388</v>
      </c>
    </row>
    <row r="42" spans="1:6" x14ac:dyDescent="0.35">
      <c r="A42">
        <v>40.392290830612183</v>
      </c>
      <c r="B42">
        <v>9.9400000000000002E-2</v>
      </c>
      <c r="C42">
        <v>1.999999999999999E-2</v>
      </c>
      <c r="D42">
        <v>0</v>
      </c>
      <c r="E42">
        <v>0.11939999999999999</v>
      </c>
      <c r="F42">
        <v>0.99636614244687349</v>
      </c>
    </row>
    <row r="43" spans="1:6" x14ac:dyDescent="0.35">
      <c r="A43">
        <v>41.376499891281128</v>
      </c>
      <c r="B43">
        <v>0.20350000000000001</v>
      </c>
      <c r="C43">
        <v>0.15899999999999997</v>
      </c>
      <c r="D43">
        <v>0</v>
      </c>
      <c r="E43">
        <v>0.36249999999999999</v>
      </c>
      <c r="F43">
        <v>0.98896755977379935</v>
      </c>
    </row>
    <row r="44" spans="1:6" x14ac:dyDescent="0.35">
      <c r="A44">
        <v>42.377513885498047</v>
      </c>
      <c r="B44">
        <v>9.219999999999999E-2</v>
      </c>
      <c r="C44">
        <v>5.9999999999999915E-3</v>
      </c>
      <c r="D44">
        <v>0</v>
      </c>
      <c r="E44">
        <v>9.8199999999999982E-2</v>
      </c>
      <c r="F44">
        <v>0.99701134998561958</v>
      </c>
    </row>
    <row r="45" spans="1:6" x14ac:dyDescent="0.35">
      <c r="A45">
        <v>43.464788913726807</v>
      </c>
      <c r="B45">
        <v>7.17E-2</v>
      </c>
      <c r="C45">
        <v>1.4999999999999999E-2</v>
      </c>
      <c r="D45">
        <v>0</v>
      </c>
      <c r="E45">
        <v>8.6699999999999999E-2</v>
      </c>
      <c r="F45">
        <v>0.99736134464107151</v>
      </c>
    </row>
    <row r="46" spans="1:6" x14ac:dyDescent="0.35">
      <c r="A46" s="4">
        <v>44.380363941192627</v>
      </c>
      <c r="B46" s="4">
        <v>9.5790000000000006</v>
      </c>
      <c r="C46" s="4">
        <v>4.879999999999999</v>
      </c>
      <c r="D46" s="4">
        <v>0</v>
      </c>
      <c r="E46" s="4">
        <v>14.459</v>
      </c>
      <c r="F46" s="4">
        <v>0.55995019798445567</v>
      </c>
    </row>
    <row r="47" spans="1:6" x14ac:dyDescent="0.35">
      <c r="A47">
        <v>53.872797727584839</v>
      </c>
      <c r="B47">
        <v>5.7539999999999996</v>
      </c>
      <c r="C47">
        <v>0.36999999999999922</v>
      </c>
      <c r="D47">
        <v>0</v>
      </c>
      <c r="E47">
        <v>6.1239999999999988</v>
      </c>
      <c r="F47">
        <v>0.81362023739240663</v>
      </c>
    </row>
    <row r="48" spans="1:6" x14ac:dyDescent="0.35">
      <c r="A48" s="4">
        <v>56.330342054367065</v>
      </c>
      <c r="B48" s="4">
        <v>8.8979999999999997</v>
      </c>
      <c r="C48" s="4">
        <v>7.07</v>
      </c>
      <c r="D48" s="4">
        <v>0</v>
      </c>
      <c r="E48" s="4">
        <v>15.968</v>
      </c>
      <c r="F48" s="4">
        <v>0.51402481232559571</v>
      </c>
    </row>
    <row r="49" spans="1:6" x14ac:dyDescent="0.35">
      <c r="A49">
        <v>57.319485664367676</v>
      </c>
      <c r="B49">
        <v>9.0629999999999988</v>
      </c>
      <c r="C49">
        <v>1.0099999999999998</v>
      </c>
      <c r="D49">
        <v>0</v>
      </c>
      <c r="E49">
        <v>10.072999999999999</v>
      </c>
      <c r="F49">
        <v>0.69343511614201692</v>
      </c>
    </row>
    <row r="50" spans="1:6" x14ac:dyDescent="0.35">
      <c r="A50">
        <v>57.640284776687622</v>
      </c>
      <c r="B50">
        <v>5.8330000000000002</v>
      </c>
      <c r="C50">
        <v>0.9399999999999995</v>
      </c>
      <c r="D50">
        <v>0</v>
      </c>
      <c r="E50">
        <v>6.7729999999999997</v>
      </c>
      <c r="F50">
        <v>0.79386836509777425</v>
      </c>
    </row>
    <row r="51" spans="1:6" x14ac:dyDescent="0.35">
      <c r="A51">
        <v>58.014677047729492</v>
      </c>
      <c r="B51">
        <v>14.034000000000001</v>
      </c>
      <c r="C51">
        <v>0.90000000000000036</v>
      </c>
      <c r="D51">
        <v>0</v>
      </c>
      <c r="E51">
        <v>14.934000000000001</v>
      </c>
      <c r="F51">
        <v>0.54549389699839956</v>
      </c>
    </row>
    <row r="52" spans="1:6" x14ac:dyDescent="0.35">
      <c r="A52">
        <v>58.365729808807373</v>
      </c>
      <c r="B52">
        <v>9.7669999999999995</v>
      </c>
      <c r="C52">
        <v>1.08</v>
      </c>
      <c r="D52">
        <v>0</v>
      </c>
      <c r="E52">
        <v>10.847</v>
      </c>
      <c r="F52">
        <v>0.66987895411421194</v>
      </c>
    </row>
    <row r="53" spans="1:6" x14ac:dyDescent="0.35">
      <c r="A53">
        <v>58.712499856948853</v>
      </c>
      <c r="B53">
        <v>6.165</v>
      </c>
      <c r="C53">
        <v>1.0700000000000003</v>
      </c>
      <c r="D53">
        <v>0</v>
      </c>
      <c r="E53">
        <v>7.2350000000000003</v>
      </c>
      <c r="F53">
        <v>0.77980771024396822</v>
      </c>
    </row>
    <row r="54" spans="1:6" x14ac:dyDescent="0.35">
      <c r="A54">
        <v>59.053200960159302</v>
      </c>
      <c r="B54">
        <v>6.3330000000000002</v>
      </c>
      <c r="C54">
        <v>1.83</v>
      </c>
      <c r="D54">
        <v>0</v>
      </c>
      <c r="E54">
        <v>8.1630000000000003</v>
      </c>
      <c r="F54">
        <v>0.75156466326489468</v>
      </c>
    </row>
    <row r="55" spans="1:6" x14ac:dyDescent="0.35">
      <c r="A55">
        <v>59.435353994369507</v>
      </c>
      <c r="B55">
        <v>7.1639999999999997</v>
      </c>
      <c r="C55">
        <v>0.91999999999999993</v>
      </c>
      <c r="D55">
        <v>0</v>
      </c>
      <c r="E55">
        <v>8.0839999999999996</v>
      </c>
      <c r="F55">
        <v>0.75396897437625976</v>
      </c>
    </row>
    <row r="56" spans="1:6" x14ac:dyDescent="0.35">
      <c r="A56">
        <v>59.78982400894165</v>
      </c>
      <c r="B56">
        <v>7.3940000000000001</v>
      </c>
      <c r="C56">
        <v>3.84</v>
      </c>
      <c r="D56">
        <v>0</v>
      </c>
      <c r="E56">
        <v>11.234</v>
      </c>
      <c r="F56">
        <v>0.65810087310030951</v>
      </c>
    </row>
    <row r="57" spans="1:6" x14ac:dyDescent="0.35">
      <c r="A57">
        <v>60.143864870071411</v>
      </c>
      <c r="B57">
        <v>3.4850000000000003</v>
      </c>
      <c r="C57">
        <v>0.85000000000000009</v>
      </c>
      <c r="D57">
        <v>0</v>
      </c>
      <c r="E57">
        <v>4.3350000000000009</v>
      </c>
      <c r="F57">
        <v>0.86806723205357317</v>
      </c>
    </row>
    <row r="58" spans="1:6" x14ac:dyDescent="0.35">
      <c r="A58">
        <v>60.68629002571106</v>
      </c>
      <c r="B58">
        <v>6.431</v>
      </c>
      <c r="C58">
        <v>0.48000000000000043</v>
      </c>
      <c r="D58">
        <v>0</v>
      </c>
      <c r="E58">
        <v>6.9110000000000005</v>
      </c>
      <c r="F58">
        <v>0.7896684292323517</v>
      </c>
    </row>
    <row r="59" spans="1:6" x14ac:dyDescent="0.35">
      <c r="A59">
        <v>61.017543792724609</v>
      </c>
      <c r="B59">
        <v>3.6090000000000004</v>
      </c>
      <c r="C59">
        <v>0.36999999999999966</v>
      </c>
      <c r="D59">
        <v>0</v>
      </c>
      <c r="E59">
        <v>3.9790000000000001</v>
      </c>
      <c r="F59">
        <v>0.87890184921364889</v>
      </c>
    </row>
    <row r="60" spans="1:6" x14ac:dyDescent="0.35">
      <c r="A60">
        <v>61.394044876098633</v>
      </c>
      <c r="B60">
        <v>3.6469999999999998</v>
      </c>
      <c r="C60">
        <v>0.55000000000000027</v>
      </c>
      <c r="D60">
        <v>0</v>
      </c>
      <c r="E60">
        <v>4.1970000000000001</v>
      </c>
      <c r="F60">
        <v>0.87226716791899583</v>
      </c>
    </row>
    <row r="61" spans="1:6" x14ac:dyDescent="0.35">
      <c r="A61">
        <v>61.717772006988525</v>
      </c>
      <c r="B61">
        <v>5.2219999999999995</v>
      </c>
      <c r="C61">
        <v>1.46</v>
      </c>
      <c r="D61">
        <v>0</v>
      </c>
      <c r="E61">
        <v>6.6819999999999995</v>
      </c>
      <c r="F61">
        <v>0.79663788802352398</v>
      </c>
    </row>
    <row r="62" spans="1:6" x14ac:dyDescent="0.35">
      <c r="A62">
        <v>62.052820920944214</v>
      </c>
      <c r="B62">
        <v>5.4139999999999997</v>
      </c>
      <c r="C62">
        <v>2.7600000000000002</v>
      </c>
      <c r="D62">
        <v>0</v>
      </c>
      <c r="E62">
        <v>8.1739999999999995</v>
      </c>
      <c r="F62">
        <v>0.75122988576837546</v>
      </c>
    </row>
    <row r="63" spans="1:6" x14ac:dyDescent="0.35">
      <c r="A63">
        <v>62.425162792205811</v>
      </c>
      <c r="B63">
        <v>3.3759999999999999</v>
      </c>
      <c r="C63">
        <v>0.44999999999999973</v>
      </c>
      <c r="D63">
        <v>0</v>
      </c>
      <c r="E63">
        <v>3.8259999999999996</v>
      </c>
      <c r="F63">
        <v>0.88355829984705214</v>
      </c>
    </row>
    <row r="64" spans="1:6" x14ac:dyDescent="0.35">
      <c r="A64">
        <v>62.801143884658813</v>
      </c>
      <c r="B64">
        <v>6.2810000000000006</v>
      </c>
      <c r="C64">
        <v>6.4</v>
      </c>
      <c r="D64">
        <v>0</v>
      </c>
      <c r="E64">
        <v>12.681000000000001</v>
      </c>
      <c r="F64">
        <v>0.61406241514910309</v>
      </c>
    </row>
    <row r="65" spans="1:6" x14ac:dyDescent="0.35">
      <c r="A65">
        <v>63.479490995407104</v>
      </c>
      <c r="B65">
        <v>3.8369999999999997</v>
      </c>
      <c r="C65">
        <v>0.87000000000000011</v>
      </c>
      <c r="D65">
        <v>0</v>
      </c>
      <c r="E65">
        <v>4.7069999999999999</v>
      </c>
      <c r="F65">
        <v>0.85674566580765155</v>
      </c>
    </row>
    <row r="66" spans="1:6" x14ac:dyDescent="0.35">
      <c r="A66">
        <v>64.486920833587646</v>
      </c>
      <c r="B66">
        <v>7.4069999999999991</v>
      </c>
      <c r="C66">
        <v>1.29</v>
      </c>
      <c r="D66">
        <v>0</v>
      </c>
      <c r="E66">
        <v>8.6969999999999992</v>
      </c>
      <c r="F66">
        <v>0.73531273752478121</v>
      </c>
    </row>
    <row r="67" spans="1:6" x14ac:dyDescent="0.35">
      <c r="A67">
        <v>65.399338722229004</v>
      </c>
      <c r="B67">
        <v>4.8849999999999998</v>
      </c>
      <c r="C67">
        <v>3.6599999999999993</v>
      </c>
      <c r="D67">
        <v>0</v>
      </c>
      <c r="E67">
        <v>8.5449999999999982</v>
      </c>
      <c r="F67">
        <v>0.73993875384031915</v>
      </c>
    </row>
    <row r="68" spans="1:6" x14ac:dyDescent="0.35">
      <c r="A68">
        <v>66.410054922103882</v>
      </c>
      <c r="B68">
        <v>3.5110000000000001</v>
      </c>
      <c r="C68">
        <v>0.30000000000000027</v>
      </c>
      <c r="D68">
        <v>0</v>
      </c>
      <c r="E68">
        <v>3.8110000000000004</v>
      </c>
      <c r="F68">
        <v>0.88401481461503284</v>
      </c>
    </row>
    <row r="69" spans="1:6" x14ac:dyDescent="0.35">
      <c r="A69">
        <v>67.420799970626831</v>
      </c>
      <c r="B69">
        <v>6.8930000000000007</v>
      </c>
      <c r="C69">
        <v>2.52</v>
      </c>
      <c r="D69">
        <v>0</v>
      </c>
      <c r="E69">
        <v>9.4130000000000003</v>
      </c>
      <c r="F69">
        <v>0.71352176593316829</v>
      </c>
    </row>
    <row r="70" spans="1:6" x14ac:dyDescent="0.35">
      <c r="A70">
        <v>68.458524942398071</v>
      </c>
      <c r="B70">
        <v>6.7239999999999993</v>
      </c>
      <c r="C70">
        <v>1.0900000000000003</v>
      </c>
      <c r="D70">
        <v>0</v>
      </c>
      <c r="E70">
        <v>7.8140000000000001</v>
      </c>
      <c r="F70">
        <v>0.76218624019991266</v>
      </c>
    </row>
    <row r="71" spans="1:6" x14ac:dyDescent="0.35">
      <c r="A71">
        <v>69.492113828659058</v>
      </c>
      <c r="B71">
        <v>7.8280000000000003</v>
      </c>
      <c r="C71">
        <v>2.3800000000000003</v>
      </c>
      <c r="D71">
        <v>0</v>
      </c>
      <c r="E71">
        <v>10.208</v>
      </c>
      <c r="F71">
        <v>0.68932648323019041</v>
      </c>
    </row>
    <row r="72" spans="1:6" x14ac:dyDescent="0.35">
      <c r="A72">
        <v>70.492401838302612</v>
      </c>
      <c r="B72">
        <v>4.1420000000000003</v>
      </c>
      <c r="C72">
        <v>0.91000000000000014</v>
      </c>
      <c r="D72">
        <v>0</v>
      </c>
      <c r="E72">
        <v>5.0520000000000005</v>
      </c>
      <c r="F72">
        <v>0.84624582614409505</v>
      </c>
    </row>
    <row r="73" spans="1:6" x14ac:dyDescent="0.35">
      <c r="A73">
        <v>71.456666946411133</v>
      </c>
      <c r="B73">
        <v>3.5200000000000005</v>
      </c>
      <c r="C73">
        <v>0.6599999999999997</v>
      </c>
      <c r="D73">
        <v>0</v>
      </c>
      <c r="E73">
        <v>4.18</v>
      </c>
      <c r="F73">
        <v>0.87278455132270727</v>
      </c>
    </row>
    <row r="74" spans="1:6" x14ac:dyDescent="0.35">
      <c r="A74">
        <v>72.505344867706299</v>
      </c>
      <c r="B74">
        <v>6.4980000000000002</v>
      </c>
      <c r="C74">
        <v>2.5</v>
      </c>
      <c r="D74">
        <v>0</v>
      </c>
      <c r="E74">
        <v>8.9980000000000011</v>
      </c>
      <c r="F74">
        <v>0.72615200784730138</v>
      </c>
    </row>
    <row r="75" spans="1:6" x14ac:dyDescent="0.35">
      <c r="A75">
        <v>73.469621896743774</v>
      </c>
      <c r="B75">
        <v>3.839</v>
      </c>
      <c r="C75">
        <v>1.0100000000000002</v>
      </c>
      <c r="D75">
        <v>0</v>
      </c>
      <c r="E75">
        <v>4.8490000000000002</v>
      </c>
      <c r="F75">
        <v>0.85242399267076741</v>
      </c>
    </row>
    <row r="76" spans="1:6" x14ac:dyDescent="0.35">
      <c r="A76">
        <v>74.429648876190186</v>
      </c>
      <c r="B76">
        <v>7.5340000000000007</v>
      </c>
      <c r="C76">
        <v>2.15</v>
      </c>
      <c r="D76">
        <v>0</v>
      </c>
      <c r="E76">
        <v>9.6840000000000011</v>
      </c>
      <c r="F76">
        <v>0.70527406579165008</v>
      </c>
    </row>
    <row r="77" spans="1:6" x14ac:dyDescent="0.35">
      <c r="A77">
        <v>75.625622987747192</v>
      </c>
      <c r="B77">
        <v>7.9359999999999999</v>
      </c>
      <c r="C77">
        <v>1.8199999999999994</v>
      </c>
      <c r="D77">
        <v>0</v>
      </c>
      <c r="E77">
        <v>9.7560000000000002</v>
      </c>
      <c r="F77">
        <v>0.70308279490534265</v>
      </c>
    </row>
    <row r="78" spans="1:6" x14ac:dyDescent="0.35">
      <c r="A78">
        <v>76.84122371673584</v>
      </c>
      <c r="B78">
        <v>8.7330000000000005</v>
      </c>
      <c r="C78">
        <v>2.8999999999999986</v>
      </c>
      <c r="D78">
        <v>0</v>
      </c>
      <c r="E78">
        <v>11.632999999999999</v>
      </c>
      <c r="F78">
        <v>0.64595758027202255</v>
      </c>
    </row>
    <row r="79" spans="1:6" x14ac:dyDescent="0.35">
      <c r="A79" s="4">
        <v>77.682495832443237</v>
      </c>
      <c r="B79" s="4">
        <v>12.585000000000001</v>
      </c>
      <c r="C79" s="4">
        <v>14.15</v>
      </c>
      <c r="D79" s="4">
        <v>0</v>
      </c>
      <c r="E79" s="4">
        <v>26.734999999999999</v>
      </c>
      <c r="F79" s="4">
        <v>0.18633851186903816</v>
      </c>
    </row>
    <row r="80" spans="1:6" x14ac:dyDescent="0.35">
      <c r="A80">
        <v>81.652908802032471</v>
      </c>
      <c r="B80">
        <v>3.6020000000000003</v>
      </c>
      <c r="C80">
        <v>0.7200000000000002</v>
      </c>
      <c r="D80">
        <v>0</v>
      </c>
      <c r="E80">
        <v>4.322000000000001</v>
      </c>
      <c r="F80">
        <v>0.86846287818582313</v>
      </c>
    </row>
    <row r="81" spans="1:6" x14ac:dyDescent="0.35">
      <c r="A81">
        <v>82.686064958572388</v>
      </c>
      <c r="B81">
        <v>4.5789999999999997</v>
      </c>
      <c r="C81">
        <v>1.9</v>
      </c>
      <c r="D81">
        <v>0</v>
      </c>
      <c r="E81">
        <v>6.4789999999999992</v>
      </c>
      <c r="F81">
        <v>0.80281605455019633</v>
      </c>
    </row>
    <row r="82" spans="1:6" x14ac:dyDescent="0.35">
      <c r="A82">
        <v>83.373631715774536</v>
      </c>
      <c r="B82">
        <v>3.5789999999999997</v>
      </c>
      <c r="C82">
        <v>0.29999999999999982</v>
      </c>
      <c r="D82">
        <v>0</v>
      </c>
      <c r="E82">
        <v>3.8789999999999996</v>
      </c>
      <c r="F82">
        <v>0.88194528100018699</v>
      </c>
    </row>
    <row r="83" spans="1:6" x14ac:dyDescent="0.35">
      <c r="A83">
        <v>84.006165981292725</v>
      </c>
      <c r="B83">
        <v>5.4189999999999996</v>
      </c>
      <c r="C83">
        <v>1.9399999999999995</v>
      </c>
      <c r="D83">
        <v>0</v>
      </c>
      <c r="E83">
        <v>7.3589999999999991</v>
      </c>
      <c r="F83">
        <v>0.77603385482866105</v>
      </c>
    </row>
    <row r="84" spans="1:6" x14ac:dyDescent="0.35">
      <c r="A84">
        <v>84.659005880355835</v>
      </c>
      <c r="B84">
        <v>3.8860000000000001</v>
      </c>
      <c r="C84">
        <v>0.77</v>
      </c>
      <c r="D84">
        <v>0</v>
      </c>
      <c r="E84">
        <v>4.6560000000000006</v>
      </c>
      <c r="F84">
        <v>0.85829781601878596</v>
      </c>
    </row>
    <row r="85" spans="1:6" x14ac:dyDescent="0.35">
      <c r="A85">
        <v>85.18291187286377</v>
      </c>
      <c r="B85">
        <v>3.5469999999999997</v>
      </c>
      <c r="C85">
        <v>0.91000000000000014</v>
      </c>
      <c r="D85">
        <v>0</v>
      </c>
      <c r="E85">
        <v>4.4569999999999999</v>
      </c>
      <c r="F85">
        <v>0.86435424527399674</v>
      </c>
    </row>
    <row r="86" spans="1:6" x14ac:dyDescent="0.35">
      <c r="A86">
        <v>85.766737937927246</v>
      </c>
      <c r="B86">
        <v>5.1349999999999998</v>
      </c>
      <c r="C86">
        <v>2.0499999999999998</v>
      </c>
      <c r="D86">
        <v>0</v>
      </c>
      <c r="E86">
        <v>7.1849999999999996</v>
      </c>
      <c r="F86">
        <v>0.78132942613723733</v>
      </c>
    </row>
    <row r="87" spans="1:6" x14ac:dyDescent="0.35">
      <c r="A87">
        <v>86.316727876663208</v>
      </c>
      <c r="B87">
        <v>4.899</v>
      </c>
      <c r="C87">
        <v>1.96</v>
      </c>
      <c r="D87">
        <v>0</v>
      </c>
      <c r="E87">
        <v>6.859</v>
      </c>
      <c r="F87">
        <v>0.79125101376135154</v>
      </c>
    </row>
    <row r="88" spans="1:6" x14ac:dyDescent="0.35">
      <c r="A88">
        <v>86.84420371055603</v>
      </c>
      <c r="B88">
        <v>5.6549999999999994</v>
      </c>
      <c r="C88">
        <v>1.8900000000000006</v>
      </c>
      <c r="D88">
        <v>0</v>
      </c>
      <c r="E88">
        <v>7.5449999999999999</v>
      </c>
      <c r="F88">
        <v>0.77037307170570013</v>
      </c>
    </row>
    <row r="89" spans="1:6" x14ac:dyDescent="0.35">
      <c r="A89">
        <v>87.497008085250854</v>
      </c>
      <c r="B89">
        <v>3.79</v>
      </c>
      <c r="C89">
        <v>1</v>
      </c>
      <c r="D89">
        <v>0</v>
      </c>
      <c r="E89">
        <v>4.79</v>
      </c>
      <c r="F89">
        <v>0.85421961742482488</v>
      </c>
    </row>
    <row r="90" spans="1:6" x14ac:dyDescent="0.35">
      <c r="A90">
        <v>88.482468843460083</v>
      </c>
      <c r="B90">
        <v>5.6029999999999998</v>
      </c>
      <c r="C90">
        <v>1.0199999999999996</v>
      </c>
      <c r="D90">
        <v>0</v>
      </c>
      <c r="E90">
        <v>6.6229999999999993</v>
      </c>
      <c r="F90">
        <v>0.79843351277758146</v>
      </c>
    </row>
    <row r="91" spans="1:6" x14ac:dyDescent="0.35">
      <c r="A91">
        <v>89.495863914489746</v>
      </c>
      <c r="B91">
        <v>3.472</v>
      </c>
      <c r="C91">
        <v>0.89999999999999991</v>
      </c>
      <c r="D91">
        <v>0</v>
      </c>
      <c r="E91">
        <v>4.3719999999999999</v>
      </c>
      <c r="F91">
        <v>0.86694116229255413</v>
      </c>
    </row>
    <row r="92" spans="1:6" x14ac:dyDescent="0.35">
      <c r="A92">
        <v>90.449703693389893</v>
      </c>
      <c r="B92">
        <v>5.5810000000000004</v>
      </c>
      <c r="C92">
        <v>1.1000000000000005</v>
      </c>
      <c r="D92">
        <v>0</v>
      </c>
      <c r="E92">
        <v>6.6810000000000009</v>
      </c>
      <c r="F92">
        <v>0.79666832234138929</v>
      </c>
    </row>
    <row r="93" spans="1:6" x14ac:dyDescent="0.35">
      <c r="A93">
        <v>91.516788959503174</v>
      </c>
      <c r="B93">
        <v>4.0519999999999996</v>
      </c>
      <c r="C93">
        <v>0.98999999999999977</v>
      </c>
      <c r="D93">
        <v>0</v>
      </c>
      <c r="E93">
        <v>5.0419999999999998</v>
      </c>
      <c r="F93">
        <v>0.84655016932274885</v>
      </c>
    </row>
    <row r="94" spans="1:6" x14ac:dyDescent="0.35">
      <c r="A94">
        <v>92.463534832000732</v>
      </c>
      <c r="B94">
        <v>6.6879999999999997</v>
      </c>
      <c r="C94">
        <v>1.98</v>
      </c>
      <c r="D94">
        <v>0</v>
      </c>
      <c r="E94">
        <v>8.6679999999999993</v>
      </c>
      <c r="F94">
        <v>0.73619533274287718</v>
      </c>
    </row>
    <row r="95" spans="1:6" x14ac:dyDescent="0.35">
      <c r="A95">
        <v>93.497133016586304</v>
      </c>
      <c r="B95">
        <v>3.931</v>
      </c>
      <c r="C95">
        <v>0.96999999999999975</v>
      </c>
      <c r="D95">
        <v>0</v>
      </c>
      <c r="E95">
        <v>4.9009999999999998</v>
      </c>
      <c r="F95">
        <v>0.85084140814176756</v>
      </c>
    </row>
    <row r="96" spans="1:6" x14ac:dyDescent="0.35">
      <c r="A96">
        <v>94.522701740264893</v>
      </c>
      <c r="B96">
        <v>3.4420000000000002</v>
      </c>
      <c r="C96">
        <v>0.25</v>
      </c>
      <c r="D96">
        <v>0</v>
      </c>
      <c r="E96">
        <v>3.6920000000000002</v>
      </c>
      <c r="F96">
        <v>0.88763649844101322</v>
      </c>
    </row>
    <row r="97" spans="1:6" x14ac:dyDescent="0.35">
      <c r="A97">
        <v>95.459039926528931</v>
      </c>
      <c r="B97">
        <v>6.1340000000000003</v>
      </c>
      <c r="C97">
        <v>3.1399999999999997</v>
      </c>
      <c r="D97">
        <v>0</v>
      </c>
      <c r="E97">
        <v>9.2740000000000009</v>
      </c>
      <c r="F97">
        <v>0.71775213611645627</v>
      </c>
    </row>
    <row r="98" spans="1:6" x14ac:dyDescent="0.35">
      <c r="A98">
        <v>96.527094841003418</v>
      </c>
      <c r="B98">
        <v>7.1209999999999996</v>
      </c>
      <c r="C98">
        <v>1.1100000000000003</v>
      </c>
      <c r="D98">
        <v>0</v>
      </c>
      <c r="E98">
        <v>8.2309999999999999</v>
      </c>
      <c r="F98">
        <v>0.74949512965004872</v>
      </c>
    </row>
    <row r="99" spans="1:6" x14ac:dyDescent="0.35">
      <c r="A99">
        <v>97.50753378868103</v>
      </c>
      <c r="B99">
        <v>4.6609999999999996</v>
      </c>
      <c r="C99">
        <v>1.9000000000000004</v>
      </c>
      <c r="D99">
        <v>0</v>
      </c>
      <c r="E99">
        <v>6.5609999999999999</v>
      </c>
      <c r="F99">
        <v>0.8003204404852351</v>
      </c>
    </row>
    <row r="100" spans="1:6" x14ac:dyDescent="0.35">
      <c r="A100">
        <v>98.508111953735352</v>
      </c>
      <c r="B100">
        <v>3.5390000000000001</v>
      </c>
      <c r="C100">
        <v>0.41000000000000014</v>
      </c>
      <c r="D100">
        <v>0</v>
      </c>
      <c r="E100">
        <v>3.9490000000000003</v>
      </c>
      <c r="F100">
        <v>0.87981487874961029</v>
      </c>
    </row>
    <row r="101" spans="1:6" x14ac:dyDescent="0.35">
      <c r="A101">
        <v>99.517709016799927</v>
      </c>
      <c r="B101">
        <v>3.4</v>
      </c>
      <c r="C101">
        <v>0.66000000000000059</v>
      </c>
      <c r="D101">
        <v>0</v>
      </c>
      <c r="E101">
        <v>4.0600000000000005</v>
      </c>
      <c r="F101">
        <v>0.87643666946655296</v>
      </c>
    </row>
    <row r="102" spans="1:6" x14ac:dyDescent="0.35">
      <c r="A102">
        <v>100.556973695755</v>
      </c>
      <c r="B102">
        <v>4.7619999999999996</v>
      </c>
      <c r="C102">
        <v>0.78000000000000025</v>
      </c>
      <c r="D102">
        <v>0</v>
      </c>
      <c r="E102">
        <v>5.5419999999999998</v>
      </c>
      <c r="F102">
        <v>0.83133301039005836</v>
      </c>
    </row>
    <row r="103" spans="1:6" x14ac:dyDescent="0.35">
      <c r="A103">
        <v>101.56153774261475</v>
      </c>
      <c r="B103">
        <v>3.97</v>
      </c>
      <c r="C103">
        <v>0.47999999999999954</v>
      </c>
      <c r="D103">
        <v>0</v>
      </c>
      <c r="E103">
        <v>4.4499999999999993</v>
      </c>
      <c r="F103">
        <v>0.86456728549905448</v>
      </c>
    </row>
    <row r="104" spans="1:6" x14ac:dyDescent="0.35">
      <c r="A104">
        <v>102.81787586212158</v>
      </c>
      <c r="B104">
        <v>6.8250000000000002</v>
      </c>
      <c r="C104">
        <v>1.3600000000000003</v>
      </c>
      <c r="D104">
        <v>0</v>
      </c>
      <c r="E104">
        <v>8.1850000000000005</v>
      </c>
      <c r="F104">
        <v>0.75089510827185624</v>
      </c>
    </row>
    <row r="105" spans="1:6" x14ac:dyDescent="0.35">
      <c r="A105">
        <v>103.69360971450806</v>
      </c>
      <c r="B105">
        <v>5.9969999999999999</v>
      </c>
      <c r="C105">
        <v>1.04</v>
      </c>
      <c r="D105">
        <v>0</v>
      </c>
      <c r="E105">
        <v>7.0369999999999999</v>
      </c>
      <c r="F105">
        <v>0.78583370518131368</v>
      </c>
    </row>
    <row r="106" spans="1:6" x14ac:dyDescent="0.35">
      <c r="A106">
        <v>104.69111084938049</v>
      </c>
      <c r="B106">
        <v>7.5060000000000002</v>
      </c>
      <c r="C106">
        <v>5.4799999999999986</v>
      </c>
      <c r="D106">
        <v>0</v>
      </c>
      <c r="E106">
        <v>12.985999999999999</v>
      </c>
      <c r="F106">
        <v>0.6047799482001619</v>
      </c>
    </row>
    <row r="107" spans="1:6" x14ac:dyDescent="0.35">
      <c r="A107">
        <v>105.54764795303345</v>
      </c>
      <c r="B107">
        <v>7.8569999999999993</v>
      </c>
      <c r="C107">
        <v>1.4699999999999998</v>
      </c>
      <c r="D107">
        <v>0</v>
      </c>
      <c r="E107">
        <v>9.3269999999999982</v>
      </c>
      <c r="F107">
        <v>0.71613911726959123</v>
      </c>
    </row>
    <row r="108" spans="1:6" x14ac:dyDescent="0.35">
      <c r="A108">
        <v>106.51769280433655</v>
      </c>
      <c r="B108">
        <v>3.7130000000000001</v>
      </c>
      <c r="C108">
        <v>0.81</v>
      </c>
      <c r="D108">
        <v>0</v>
      </c>
      <c r="E108">
        <v>4.5229999999999997</v>
      </c>
      <c r="F108">
        <v>0.86234558029488162</v>
      </c>
    </row>
    <row r="109" spans="1:6" x14ac:dyDescent="0.35">
      <c r="A109">
        <v>107.51259589195251</v>
      </c>
      <c r="B109">
        <v>7.4700000000000006</v>
      </c>
      <c r="C109">
        <v>1.8300000000000005</v>
      </c>
      <c r="D109">
        <v>0</v>
      </c>
      <c r="E109">
        <v>9.3000000000000007</v>
      </c>
      <c r="F109">
        <v>0.71696084385195635</v>
      </c>
    </row>
    <row r="110" spans="1:6" x14ac:dyDescent="0.35">
      <c r="A110">
        <v>108.55657386779785</v>
      </c>
      <c r="B110">
        <v>4.2299999999999995</v>
      </c>
      <c r="C110">
        <v>0.98000000000000043</v>
      </c>
      <c r="D110">
        <v>0</v>
      </c>
      <c r="E110">
        <v>5.21</v>
      </c>
      <c r="F110">
        <v>0.8414372039213649</v>
      </c>
    </row>
    <row r="111" spans="1:6" x14ac:dyDescent="0.35">
      <c r="A111">
        <v>109.56915497779846</v>
      </c>
      <c r="B111">
        <v>4.2060000000000004</v>
      </c>
      <c r="C111">
        <v>0.99000000000000021</v>
      </c>
      <c r="D111">
        <v>0</v>
      </c>
      <c r="E111">
        <v>5.1960000000000006</v>
      </c>
      <c r="F111">
        <v>0.84186328437148017</v>
      </c>
    </row>
    <row r="112" spans="1:6" x14ac:dyDescent="0.35">
      <c r="A112">
        <v>110.52376794815063</v>
      </c>
      <c r="B112">
        <v>5.4130000000000003</v>
      </c>
      <c r="C112">
        <v>0.98</v>
      </c>
      <c r="D112">
        <v>0</v>
      </c>
      <c r="E112">
        <v>6.3930000000000007</v>
      </c>
      <c r="F112">
        <v>0.80543340588661905</v>
      </c>
    </row>
    <row r="113" spans="1:6" x14ac:dyDescent="0.35">
      <c r="A113">
        <v>111.59043383598328</v>
      </c>
      <c r="B113">
        <v>3.2729999999999997</v>
      </c>
      <c r="C113">
        <v>0.94</v>
      </c>
      <c r="D113">
        <v>0</v>
      </c>
      <c r="E113">
        <v>4.2129999999999992</v>
      </c>
      <c r="F113">
        <v>0.87178021883314971</v>
      </c>
    </row>
    <row r="114" spans="1:6" x14ac:dyDescent="0.35">
      <c r="A114">
        <v>112.5168559551239</v>
      </c>
      <c r="B114">
        <v>3.3220000000000001</v>
      </c>
      <c r="C114">
        <v>0.48</v>
      </c>
      <c r="D114">
        <v>0</v>
      </c>
      <c r="E114">
        <v>3.802</v>
      </c>
      <c r="F114">
        <v>0.88428872347582133</v>
      </c>
    </row>
    <row r="115" spans="1:6" x14ac:dyDescent="0.35">
      <c r="A115">
        <v>113.52607107162476</v>
      </c>
      <c r="B115">
        <v>4.6719999999999997</v>
      </c>
      <c r="C115">
        <v>0.98</v>
      </c>
      <c r="D115">
        <v>0</v>
      </c>
      <c r="E115">
        <v>5.6519999999999992</v>
      </c>
      <c r="F115">
        <v>0.82798523542486646</v>
      </c>
    </row>
    <row r="116" spans="1:6" x14ac:dyDescent="0.35">
      <c r="A116">
        <v>114.52803993225098</v>
      </c>
      <c r="B116">
        <v>3.6340000000000003</v>
      </c>
      <c r="C116">
        <v>1.1099999999999999</v>
      </c>
      <c r="D116">
        <v>0</v>
      </c>
      <c r="E116">
        <v>4.7439999999999998</v>
      </c>
      <c r="F116">
        <v>0.8556195960466324</v>
      </c>
    </row>
    <row r="117" spans="1:6" x14ac:dyDescent="0.35">
      <c r="A117">
        <v>115.55067276954651</v>
      </c>
      <c r="B117">
        <v>5.6560000000000006</v>
      </c>
      <c r="C117">
        <v>1.0699999999999998</v>
      </c>
      <c r="D117">
        <v>0</v>
      </c>
      <c r="E117">
        <v>6.7260000000000009</v>
      </c>
      <c r="F117">
        <v>0.7952987780374472</v>
      </c>
    </row>
    <row r="118" spans="1:6" x14ac:dyDescent="0.35">
      <c r="A118">
        <v>116.57728099822998</v>
      </c>
      <c r="B118">
        <v>6.6340000000000003</v>
      </c>
      <c r="C118">
        <v>1.6999999999999993</v>
      </c>
      <c r="D118">
        <v>0</v>
      </c>
      <c r="E118">
        <v>8.3339999999999996</v>
      </c>
      <c r="F118">
        <v>0.74636039490991446</v>
      </c>
    </row>
    <row r="119" spans="1:6" x14ac:dyDescent="0.35">
      <c r="A119">
        <v>117.60032296180725</v>
      </c>
      <c r="B119">
        <v>4.8289999999999997</v>
      </c>
      <c r="C119">
        <v>2.1800000000000002</v>
      </c>
      <c r="D119">
        <v>0</v>
      </c>
      <c r="E119">
        <v>7.0090000000000003</v>
      </c>
      <c r="F119">
        <v>0.78668586608154434</v>
      </c>
    </row>
    <row r="120" spans="1:6" x14ac:dyDescent="0.35">
      <c r="A120">
        <v>118.55597996711731</v>
      </c>
      <c r="B120">
        <v>3.2039999999999997</v>
      </c>
      <c r="C120">
        <v>0.73</v>
      </c>
      <c r="D120">
        <v>0</v>
      </c>
      <c r="E120">
        <v>3.9339999999999997</v>
      </c>
      <c r="F120">
        <v>0.88027139351759098</v>
      </c>
    </row>
    <row r="121" spans="1:6" x14ac:dyDescent="0.35">
      <c r="A121">
        <v>119.51620388031006</v>
      </c>
      <c r="B121">
        <v>3.1399999999999997</v>
      </c>
      <c r="C121">
        <v>7.0000000000000284E-2</v>
      </c>
      <c r="D121">
        <v>0</v>
      </c>
      <c r="E121">
        <v>3.21</v>
      </c>
      <c r="F121">
        <v>0.90230583965212685</v>
      </c>
    </row>
    <row r="122" spans="1:6" x14ac:dyDescent="0.35">
      <c r="A122">
        <v>120.60216188430786</v>
      </c>
      <c r="B122">
        <v>7.7269999999999994</v>
      </c>
      <c r="C122">
        <v>1.9400000000000004</v>
      </c>
      <c r="D122">
        <v>0</v>
      </c>
      <c r="E122">
        <v>9.6669999999999998</v>
      </c>
      <c r="F122">
        <v>0.70579144919536163</v>
      </c>
    </row>
    <row r="123" spans="1:6" x14ac:dyDescent="0.35">
      <c r="A123">
        <v>121.65446186065674</v>
      </c>
      <c r="B123">
        <v>4.1259999999999994</v>
      </c>
      <c r="C123">
        <v>0.93000000000000016</v>
      </c>
      <c r="D123">
        <v>0</v>
      </c>
      <c r="E123">
        <v>5.0559999999999992</v>
      </c>
      <c r="F123">
        <v>0.84612408887263357</v>
      </c>
    </row>
    <row r="124" spans="1:6" x14ac:dyDescent="0.35">
      <c r="A124">
        <v>122.8292179107666</v>
      </c>
      <c r="B124">
        <v>5.8250000000000002</v>
      </c>
      <c r="C124">
        <v>1.31</v>
      </c>
      <c r="D124">
        <v>0</v>
      </c>
      <c r="E124">
        <v>7.1349999999999998</v>
      </c>
      <c r="F124">
        <v>0.78285114203050632</v>
      </c>
    </row>
    <row r="125" spans="1:6" x14ac:dyDescent="0.35">
      <c r="A125" s="4">
        <v>123.68304586410522</v>
      </c>
      <c r="B125" s="4">
        <v>6.6829999999999998</v>
      </c>
      <c r="C125" s="4">
        <v>6.77</v>
      </c>
      <c r="D125" s="4">
        <v>0</v>
      </c>
      <c r="E125" s="4">
        <v>13.452999999999999</v>
      </c>
      <c r="F125" s="4">
        <v>0.59056712175702897</v>
      </c>
    </row>
    <row r="126" spans="1:6" x14ac:dyDescent="0.35">
      <c r="A126">
        <v>125.84679102897644</v>
      </c>
      <c r="B126">
        <v>7.7289999999999992</v>
      </c>
      <c r="C126">
        <v>3.94</v>
      </c>
      <c r="D126">
        <v>0</v>
      </c>
      <c r="E126">
        <v>11.668999999999999</v>
      </c>
      <c r="F126">
        <v>0.64486194482886883</v>
      </c>
    </row>
    <row r="127" spans="1:6" x14ac:dyDescent="0.35">
      <c r="A127">
        <v>126.72196984291077</v>
      </c>
      <c r="B127">
        <v>7.7469999999999999</v>
      </c>
      <c r="C127">
        <v>6</v>
      </c>
      <c r="D127">
        <v>0</v>
      </c>
      <c r="E127">
        <v>13.747</v>
      </c>
      <c r="F127">
        <v>0.58161943230460689</v>
      </c>
    </row>
    <row r="128" spans="1:6" x14ac:dyDescent="0.35">
      <c r="A128">
        <v>127.690269947052</v>
      </c>
      <c r="B128">
        <v>5.0380000000000003</v>
      </c>
      <c r="C128">
        <v>1.0500000000000003</v>
      </c>
      <c r="D128">
        <v>0</v>
      </c>
      <c r="E128">
        <v>6.088000000000001</v>
      </c>
      <c r="F128">
        <v>0.81471587283556024</v>
      </c>
    </row>
    <row r="129" spans="1:6" x14ac:dyDescent="0.35">
      <c r="A129">
        <v>128.6083288192749</v>
      </c>
      <c r="B129">
        <v>5.5640000000000001</v>
      </c>
      <c r="C129">
        <v>1.2000000000000002</v>
      </c>
      <c r="D129">
        <v>0</v>
      </c>
      <c r="E129">
        <v>6.7640000000000002</v>
      </c>
      <c r="F129">
        <v>0.79414227395856263</v>
      </c>
    </row>
    <row r="130" spans="1:6" x14ac:dyDescent="0.35">
      <c r="A130">
        <v>129.6225757598877</v>
      </c>
      <c r="B130">
        <v>3.9560000000000004</v>
      </c>
      <c r="C130">
        <v>0.80000000000000027</v>
      </c>
      <c r="D130">
        <v>0</v>
      </c>
      <c r="E130">
        <v>4.7560000000000002</v>
      </c>
      <c r="F130">
        <v>0.85525438423224776</v>
      </c>
    </row>
    <row r="131" spans="1:6" x14ac:dyDescent="0.35">
      <c r="A131">
        <v>130.53105592727661</v>
      </c>
      <c r="B131">
        <v>4.0819999999999999</v>
      </c>
      <c r="C131">
        <v>0.89999999999999947</v>
      </c>
      <c r="D131">
        <v>0</v>
      </c>
      <c r="E131">
        <v>4.9819999999999993</v>
      </c>
      <c r="F131">
        <v>0.84837622839467175</v>
      </c>
    </row>
    <row r="132" spans="1:6" x14ac:dyDescent="0.35">
      <c r="A132">
        <v>131.34946179389954</v>
      </c>
      <c r="B132">
        <v>5.0759999999999996</v>
      </c>
      <c r="C132">
        <v>1.87</v>
      </c>
      <c r="D132">
        <v>0</v>
      </c>
      <c r="E132">
        <v>6.9459999999999997</v>
      </c>
      <c r="F132">
        <v>0.7886032281070634</v>
      </c>
    </row>
    <row r="133" spans="1:6" x14ac:dyDescent="0.35">
      <c r="A133">
        <v>132.16894888877869</v>
      </c>
      <c r="B133">
        <v>9.0289999999999999</v>
      </c>
      <c r="C133">
        <v>3</v>
      </c>
      <c r="D133">
        <v>0</v>
      </c>
      <c r="E133">
        <v>12.029</v>
      </c>
      <c r="F133">
        <v>0.63390559039733163</v>
      </c>
    </row>
    <row r="134" spans="1:6" x14ac:dyDescent="0.35">
      <c r="A134">
        <v>132.98284673690796</v>
      </c>
      <c r="B134">
        <v>3.6360000000000001</v>
      </c>
      <c r="C134">
        <v>0.50999999999999979</v>
      </c>
      <c r="D134">
        <v>0</v>
      </c>
      <c r="E134">
        <v>4.1459999999999999</v>
      </c>
      <c r="F134">
        <v>0.87381931813013025</v>
      </c>
    </row>
    <row r="135" spans="1:6" x14ac:dyDescent="0.35">
      <c r="A135">
        <v>133.84712195396423</v>
      </c>
      <c r="B135">
        <v>1.7155999999999998</v>
      </c>
      <c r="C135">
        <v>7.9999999999999627E-2</v>
      </c>
      <c r="D135">
        <v>0</v>
      </c>
      <c r="E135">
        <v>1.7955999999999994</v>
      </c>
      <c r="F135">
        <v>0.94535213884092184</v>
      </c>
    </row>
    <row r="136" spans="1:6" x14ac:dyDescent="0.35">
      <c r="A136">
        <v>134.66767883300781</v>
      </c>
      <c r="B136">
        <v>7.1599999999999997E-2</v>
      </c>
      <c r="C136">
        <v>4.9999999999999975E-3</v>
      </c>
      <c r="D136">
        <v>0</v>
      </c>
      <c r="E136">
        <v>7.6600000000000001E-2</v>
      </c>
      <c r="F136">
        <v>0.99766873125151179</v>
      </c>
    </row>
    <row r="137" spans="1:6" x14ac:dyDescent="0.35">
      <c r="A137">
        <v>135.67658400535583</v>
      </c>
      <c r="B137">
        <v>7.7499999999999999E-2</v>
      </c>
      <c r="C137">
        <v>1.8000000000000002E-2</v>
      </c>
      <c r="D137">
        <v>0</v>
      </c>
      <c r="E137">
        <v>9.5500000000000002E-2</v>
      </c>
      <c r="F137">
        <v>0.99709352264385609</v>
      </c>
    </row>
    <row r="138" spans="1:6" x14ac:dyDescent="0.35">
      <c r="A138">
        <v>136.67502379417419</v>
      </c>
      <c r="B138">
        <v>8.1299999999999997E-2</v>
      </c>
      <c r="C138">
        <v>1.6E-2</v>
      </c>
      <c r="D138">
        <v>0</v>
      </c>
      <c r="E138">
        <v>9.7299999999999998E-2</v>
      </c>
      <c r="F138">
        <v>0.99703874087169841</v>
      </c>
    </row>
    <row r="139" spans="1:6" x14ac:dyDescent="0.35">
      <c r="A139">
        <v>137.65745997428894</v>
      </c>
      <c r="B139">
        <v>6.9499999999999992E-2</v>
      </c>
      <c r="C139">
        <v>2.7999999999999997E-2</v>
      </c>
      <c r="D139">
        <v>0</v>
      </c>
      <c r="E139">
        <v>9.7499999999999989E-2</v>
      </c>
      <c r="F139">
        <v>0.99703265400812535</v>
      </c>
    </row>
    <row r="140" spans="1:6" x14ac:dyDescent="0.35">
      <c r="A140">
        <v>138.66187071800232</v>
      </c>
      <c r="B140">
        <v>7.8899999999999998E-2</v>
      </c>
      <c r="C140">
        <v>7.0000000000000062E-3</v>
      </c>
      <c r="D140">
        <v>0</v>
      </c>
      <c r="E140">
        <v>8.5900000000000004E-2</v>
      </c>
      <c r="F140">
        <v>0.99738569209536376</v>
      </c>
    </row>
    <row r="141" spans="1:6" x14ac:dyDescent="0.35">
      <c r="A141">
        <v>140.07250905036926</v>
      </c>
      <c r="B141">
        <v>9.5299999999999996E-2</v>
      </c>
      <c r="C141">
        <v>2.1000000000000005E-2</v>
      </c>
      <c r="D141">
        <v>0</v>
      </c>
      <c r="E141">
        <v>0.1163</v>
      </c>
      <c r="F141">
        <v>0.99646048883225613</v>
      </c>
    </row>
    <row r="142" spans="1:6" x14ac:dyDescent="0.35">
      <c r="A142">
        <v>141.17797899246216</v>
      </c>
      <c r="B142">
        <v>7.5200000000000003E-2</v>
      </c>
      <c r="C142">
        <v>9.999999999999995E-3</v>
      </c>
      <c r="D142">
        <v>0</v>
      </c>
      <c r="E142">
        <v>8.5199999999999998E-2</v>
      </c>
      <c r="F142">
        <v>0.99740699611786954</v>
      </c>
    </row>
    <row r="143" spans="1:6" x14ac:dyDescent="0.35">
      <c r="A143">
        <v>142.3216540813446</v>
      </c>
      <c r="B143">
        <v>8.6999999999999994E-2</v>
      </c>
      <c r="C143">
        <v>1.3999999999999999E-2</v>
      </c>
      <c r="D143">
        <v>0</v>
      </c>
      <c r="E143">
        <v>0.10099999999999999</v>
      </c>
      <c r="F143">
        <v>0.99692613389559648</v>
      </c>
    </row>
    <row r="144" spans="1:6" x14ac:dyDescent="0.35">
      <c r="A144">
        <v>143.26179766654968</v>
      </c>
      <c r="B144">
        <v>7.2599999999999998E-2</v>
      </c>
      <c r="C144">
        <v>6.9999999999999923E-3</v>
      </c>
      <c r="D144">
        <v>0</v>
      </c>
      <c r="E144">
        <v>7.959999999999999E-2</v>
      </c>
      <c r="F144">
        <v>0.99757742829791562</v>
      </c>
    </row>
    <row r="145" spans="1:6" x14ac:dyDescent="0.35">
      <c r="A145">
        <v>144.21182298660278</v>
      </c>
      <c r="B145">
        <v>8.0499999999999988E-2</v>
      </c>
      <c r="C145">
        <v>2.6999999999999996E-2</v>
      </c>
      <c r="D145">
        <v>0</v>
      </c>
      <c r="E145">
        <v>0.10749999999999998</v>
      </c>
      <c r="F145">
        <v>0.99672831082947155</v>
      </c>
    </row>
    <row r="146" spans="1:6" x14ac:dyDescent="0.35">
      <c r="A146">
        <v>145.16577005386353</v>
      </c>
      <c r="B146">
        <v>7.4999999999999997E-2</v>
      </c>
      <c r="C146">
        <v>1.1000000000000003E-2</v>
      </c>
      <c r="D146">
        <v>0</v>
      </c>
      <c r="E146">
        <v>8.5999999999999993E-2</v>
      </c>
      <c r="F146">
        <v>0.99738264866357729</v>
      </c>
    </row>
    <row r="147" spans="1:6" x14ac:dyDescent="0.35">
      <c r="A147">
        <v>146.19012403488159</v>
      </c>
      <c r="B147">
        <v>8.2599999999999993E-2</v>
      </c>
      <c r="C147">
        <v>2.6999999999999996E-2</v>
      </c>
      <c r="D147">
        <v>0</v>
      </c>
      <c r="E147">
        <v>0.10959999999999999</v>
      </c>
      <c r="F147">
        <v>0.99666439876195423</v>
      </c>
    </row>
    <row r="148" spans="1:6" x14ac:dyDescent="0.35">
      <c r="A148">
        <v>147.21039295196533</v>
      </c>
      <c r="B148">
        <v>7.6600000000000001E-2</v>
      </c>
      <c r="C148">
        <v>1.1999999999999997E-2</v>
      </c>
      <c r="D148">
        <v>0</v>
      </c>
      <c r="E148">
        <v>8.8599999999999998E-2</v>
      </c>
      <c r="F148">
        <v>0.99730351943712725</v>
      </c>
    </row>
    <row r="149" spans="1:6" x14ac:dyDescent="0.35">
      <c r="A149">
        <v>148.1782329082489</v>
      </c>
      <c r="B149">
        <v>8.1900000000000001E-2</v>
      </c>
      <c r="C149">
        <v>2.4000000000000007E-2</v>
      </c>
      <c r="D149">
        <v>0</v>
      </c>
      <c r="E149">
        <v>0.10590000000000001</v>
      </c>
      <c r="F149">
        <v>0.99677700573805617</v>
      </c>
    </row>
    <row r="150" spans="1:6" x14ac:dyDescent="0.35">
      <c r="A150">
        <v>149.18436598777771</v>
      </c>
      <c r="B150">
        <v>7.8399999999999997E-2</v>
      </c>
      <c r="C150">
        <v>1.7000000000000001E-2</v>
      </c>
      <c r="D150">
        <v>0</v>
      </c>
      <c r="E150">
        <v>9.5399999999999999E-2</v>
      </c>
      <c r="F150">
        <v>0.99709656607564268</v>
      </c>
    </row>
    <row r="151" spans="1:6" x14ac:dyDescent="0.35">
      <c r="A151">
        <v>150.20280575752258</v>
      </c>
      <c r="B151">
        <v>8.7599999999999997E-2</v>
      </c>
      <c r="C151">
        <v>3.3999999999999989E-2</v>
      </c>
      <c r="D151">
        <v>0</v>
      </c>
      <c r="E151">
        <v>0.12159999999999999</v>
      </c>
      <c r="F151">
        <v>0.99629918694756969</v>
      </c>
    </row>
    <row r="152" spans="1:6" x14ac:dyDescent="0.35">
      <c r="A152">
        <v>151.13956999778748</v>
      </c>
      <c r="B152">
        <v>8.4499999999999992E-2</v>
      </c>
      <c r="C152">
        <v>1.3999999999999999E-2</v>
      </c>
      <c r="D152">
        <v>0</v>
      </c>
      <c r="E152">
        <v>9.849999999999999E-2</v>
      </c>
      <c r="F152">
        <v>0.99700221969025993</v>
      </c>
    </row>
    <row r="153" spans="1:6" x14ac:dyDescent="0.35">
      <c r="A153">
        <v>152.08470988273621</v>
      </c>
      <c r="B153">
        <v>0.08</v>
      </c>
      <c r="C153">
        <v>1.6E-2</v>
      </c>
      <c r="D153">
        <v>0</v>
      </c>
      <c r="E153">
        <v>9.6000000000000002E-2</v>
      </c>
      <c r="F153">
        <v>0.99707830548492338</v>
      </c>
    </row>
    <row r="154" spans="1:6" x14ac:dyDescent="0.35">
      <c r="A154">
        <v>153.10999393463135</v>
      </c>
      <c r="B154">
        <v>8.1500000000000003E-2</v>
      </c>
      <c r="C154">
        <v>1.1000000000000003E-2</v>
      </c>
      <c r="D154">
        <v>0</v>
      </c>
      <c r="E154">
        <v>9.2499999999999999E-2</v>
      </c>
      <c r="F154">
        <v>0.99718482559745225</v>
      </c>
    </row>
    <row r="155" spans="1:6" x14ac:dyDescent="0.35">
      <c r="A155">
        <v>154.13394784927368</v>
      </c>
      <c r="B155">
        <v>8.6800000000000002E-2</v>
      </c>
      <c r="C155">
        <v>2.2000000000000006E-2</v>
      </c>
      <c r="D155">
        <v>0</v>
      </c>
      <c r="E155">
        <v>0.10880000000000001</v>
      </c>
      <c r="F155">
        <v>0.99668874621624659</v>
      </c>
    </row>
    <row r="156" spans="1:6" x14ac:dyDescent="0.35">
      <c r="A156">
        <v>155.17683577537537</v>
      </c>
      <c r="B156">
        <v>7.17E-2</v>
      </c>
      <c r="C156">
        <v>9.999999999999995E-3</v>
      </c>
      <c r="D156">
        <v>0</v>
      </c>
      <c r="E156">
        <v>8.1699999999999995E-2</v>
      </c>
      <c r="F156">
        <v>0.99751351623039841</v>
      </c>
    </row>
    <row r="157" spans="1:6" x14ac:dyDescent="0.35">
      <c r="A157">
        <v>156.74689078330994</v>
      </c>
      <c r="B157">
        <v>7.6700000000000004E-2</v>
      </c>
      <c r="C157">
        <v>2.0999999999999998E-2</v>
      </c>
      <c r="D157">
        <v>0</v>
      </c>
      <c r="E157">
        <v>9.7700000000000009E-2</v>
      </c>
      <c r="F157">
        <v>0.99702656714455229</v>
      </c>
    </row>
    <row r="158" spans="1:6" x14ac:dyDescent="0.35">
      <c r="A158">
        <v>158.15400290489197</v>
      </c>
      <c r="B158">
        <v>7.8200000000000006E-2</v>
      </c>
      <c r="C158">
        <v>1.999999999999999E-2</v>
      </c>
      <c r="D158">
        <v>0</v>
      </c>
      <c r="E158">
        <v>9.8199999999999996E-2</v>
      </c>
      <c r="F158">
        <v>0.99701134998561958</v>
      </c>
    </row>
    <row r="159" spans="1:6" x14ac:dyDescent="0.35">
      <c r="A159">
        <v>159.40222692489624</v>
      </c>
      <c r="B159">
        <v>7.4700000000000003E-2</v>
      </c>
      <c r="C159">
        <v>2.1000000000000005E-2</v>
      </c>
      <c r="D159">
        <v>0</v>
      </c>
      <c r="E159">
        <v>9.5700000000000007E-2</v>
      </c>
      <c r="F159">
        <v>0.99708743578028303</v>
      </c>
    </row>
    <row r="160" spans="1:6" x14ac:dyDescent="0.35">
      <c r="A160">
        <v>160.48090505599976</v>
      </c>
      <c r="B160">
        <v>8.2300000000000012E-2</v>
      </c>
      <c r="C160">
        <v>1.4999999999999999E-2</v>
      </c>
      <c r="D160">
        <v>0</v>
      </c>
      <c r="E160">
        <v>9.7300000000000011E-2</v>
      </c>
      <c r="F160">
        <v>0.99703874087169841</v>
      </c>
    </row>
    <row r="161" spans="1:6" x14ac:dyDescent="0.35">
      <c r="A161">
        <v>161.61075687408447</v>
      </c>
      <c r="B161">
        <v>8.72E-2</v>
      </c>
      <c r="C161">
        <v>1.6999999999999994E-2</v>
      </c>
      <c r="D161">
        <v>0</v>
      </c>
      <c r="E161">
        <v>0.10419999999999999</v>
      </c>
      <c r="F161">
        <v>0.99682874407842725</v>
      </c>
    </row>
    <row r="162" spans="1:6" x14ac:dyDescent="0.35">
      <c r="A162">
        <v>162.50826787948608</v>
      </c>
      <c r="B162">
        <v>6.8500000000000005E-2</v>
      </c>
      <c r="C162">
        <v>1.0999999999999996E-2</v>
      </c>
      <c r="D162">
        <v>0</v>
      </c>
      <c r="E162">
        <v>7.9500000000000001E-2</v>
      </c>
      <c r="F162">
        <v>0.99758047172970221</v>
      </c>
    </row>
    <row r="163" spans="1:6" x14ac:dyDescent="0.35">
      <c r="A163">
        <v>163.55952000617981</v>
      </c>
      <c r="B163">
        <v>7.9899999999999999E-2</v>
      </c>
      <c r="C163">
        <v>1.4999999999999999E-2</v>
      </c>
      <c r="D163">
        <v>0</v>
      </c>
      <c r="E163">
        <v>9.4899999999999998E-2</v>
      </c>
      <c r="F163">
        <v>0.99711178323457539</v>
      </c>
    </row>
    <row r="164" spans="1:6" x14ac:dyDescent="0.35">
      <c r="A164">
        <v>164.71414995193481</v>
      </c>
      <c r="B164">
        <v>7.5899999999999995E-2</v>
      </c>
      <c r="C164">
        <v>1.1999999999999997E-2</v>
      </c>
      <c r="D164">
        <v>0</v>
      </c>
      <c r="E164">
        <v>8.7899999999999992E-2</v>
      </c>
      <c r="F164">
        <v>0.99732482345963303</v>
      </c>
    </row>
    <row r="165" spans="1:6" x14ac:dyDescent="0.35">
      <c r="A165">
        <v>165.85830783843994</v>
      </c>
      <c r="B165">
        <v>8.3400000000000002E-2</v>
      </c>
      <c r="C165">
        <v>1.7000000000000001E-2</v>
      </c>
      <c r="D165">
        <v>0</v>
      </c>
      <c r="E165">
        <v>0.1004</v>
      </c>
      <c r="F165">
        <v>0.99694439448631578</v>
      </c>
    </row>
  </sheetData>
  <mergeCells count="1">
    <mergeCell ref="H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Lozano</dc:creator>
  <cp:lastModifiedBy>MARIA LOZANO CASERO</cp:lastModifiedBy>
  <dcterms:created xsi:type="dcterms:W3CDTF">2026-06-18T08:31:33Z</dcterms:created>
  <dcterms:modified xsi:type="dcterms:W3CDTF">2026-06-18T10:21:06Z</dcterms:modified>
</cp:coreProperties>
</file>