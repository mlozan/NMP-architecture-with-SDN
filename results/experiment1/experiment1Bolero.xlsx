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loza\thesis-NMP-SDN\matlab\experiment 1\"/>
    </mc:Choice>
  </mc:AlternateContent>
  <xr:revisionPtr revIDLastSave="0" documentId="8_{5484C040-3A0A-4A87-BB41-4FDA2255087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externalReferences>
    <externalReference r:id="rId2"/>
  </externalReferenc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" l="1"/>
  <c r="H10" i="1"/>
  <c r="K5" i="1"/>
  <c r="J5" i="1"/>
  <c r="I5" i="1"/>
  <c r="H5" i="1"/>
</calcChain>
</file>

<file path=xl/sharedStrings.xml><?xml version="1.0" encoding="utf-8"?>
<sst xmlns="http://schemas.openxmlformats.org/spreadsheetml/2006/main" count="14" uniqueCount="12">
  <si>
    <t>Time_s</t>
  </si>
  <si>
    <t>Delay_ms</t>
  </si>
  <si>
    <t>Jitter_ms</t>
  </si>
  <si>
    <t>Loss_pct</t>
  </si>
  <si>
    <t>D_ms</t>
  </si>
  <si>
    <t>QoE</t>
  </si>
  <si>
    <t>Baseline</t>
  </si>
  <si>
    <t>Medium</t>
  </si>
  <si>
    <t>Heavy</t>
  </si>
  <si>
    <t>Recovery</t>
  </si>
  <si>
    <t>QoE average per phases</t>
  </si>
  <si>
    <t>Relative 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</si>
</sst>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</font>
    <font>
      <b/>
      <sz val="11"/>
      <color rgb="FF3F3F3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2" applyAlignment="1">
      <alignment horizontal="center"/>
    </xf>
    <xf numFmtId="0" fontId="0" fillId="0" borderId="2" xfId="0" applyBorder="1" applyAlignment="1">
      <alignment horizontal="center"/>
    </xf>
    <xf numFmtId="9" fontId="0" fillId="0" borderId="0" xfId="1" applyFont="1" applyAlignment="1">
      <alignment horizontal="center"/>
    </xf>
  </cellXfs>
  <cellStyles count="3">
    <cellStyle name="Normal" xfId="0" builtinId="0"/>
    <cellStyle name="Output" xfId="2" builtinId="21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experiment%202/experiment2Bolero.xlsx" TargetMode="External"/><Relationship Id="rId2" Type="http://schemas.openxmlformats.org/officeDocument/2006/relationships/externalLinkPath" Target="file:///C:\Users\mloza\thesis-NMP-SDN\matlab\experiment%202\experiment2Bolero.xlsx" TargetMode="External"/><Relationship Id="rId1" Type="http://schemas.openxmlformats.org/officeDocument/2006/relationships/externalLinkPath" Target="/Users/mloza/thesis-NMP-SDN/matlab/experiment%202/experiment2Boler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6"/>
  <sheetViews>
    <sheetView tabSelected="1" topLeftCell="E1" zoomScale="106" workbookViewId="0">
      <selection activeCell="H8" sqref="H8:K10"/>
    </sheetView>
  </sheetViews>
  <sheetFormatPr defaultRowHeight="14.5" x14ac:dyDescent="0.35"/>
  <cols>
    <col min="1" max="1" width="12.453125" customWidth="1"/>
    <col min="2" max="2" width="11.453125" customWidth="1"/>
    <col min="3" max="3" width="8.453125" customWidth="1"/>
    <col min="4" max="4" width="8" customWidth="1"/>
    <col min="5" max="5" width="11.453125" customWidth="1"/>
    <col min="6" max="6" width="13.453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1" x14ac:dyDescent="0.35">
      <c r="A2">
        <v>0.15220212936401367</v>
      </c>
      <c r="B2">
        <v>9.8400000000000001E-2</v>
      </c>
      <c r="C2">
        <v>1.4999999999999993E-2</v>
      </c>
      <c r="D2">
        <v>0</v>
      </c>
      <c r="E2">
        <v>0.1134</v>
      </c>
      <c r="F2">
        <v>0.99654874835406582</v>
      </c>
    </row>
    <row r="3" spans="1:11" x14ac:dyDescent="0.35">
      <c r="A3">
        <v>6.9538571834564209</v>
      </c>
      <c r="B3">
        <v>9.0499999999999997E-2</v>
      </c>
      <c r="C3">
        <v>1.8999999999999989E-2</v>
      </c>
      <c r="D3">
        <v>0</v>
      </c>
      <c r="E3">
        <v>0.10949999999999999</v>
      </c>
      <c r="F3">
        <v>0.99666744219374082</v>
      </c>
      <c r="H3" s="2" t="s">
        <v>10</v>
      </c>
      <c r="I3" s="2"/>
      <c r="J3" s="2"/>
      <c r="K3" s="2"/>
    </row>
    <row r="4" spans="1:11" x14ac:dyDescent="0.35">
      <c r="A4">
        <v>7.1196470260620117</v>
      </c>
      <c r="B4">
        <v>6.8599999999999994E-2</v>
      </c>
      <c r="C4">
        <v>1.6E-2</v>
      </c>
      <c r="D4">
        <v>0</v>
      </c>
      <c r="E4">
        <v>8.4599999999999995E-2</v>
      </c>
      <c r="F4">
        <v>0.99742525670858873</v>
      </c>
      <c r="H4" s="1" t="s">
        <v>6</v>
      </c>
      <c r="I4" s="1" t="s">
        <v>7</v>
      </c>
      <c r="J4" s="1" t="s">
        <v>8</v>
      </c>
      <c r="K4" s="1" t="s">
        <v>9</v>
      </c>
    </row>
    <row r="5" spans="1:11" x14ac:dyDescent="0.35">
      <c r="A5">
        <v>7.2306849956512451</v>
      </c>
      <c r="B5">
        <v>6.720000000000001E-2</v>
      </c>
      <c r="C5">
        <v>1.7000000000000001E-2</v>
      </c>
      <c r="D5">
        <v>0</v>
      </c>
      <c r="E5">
        <v>8.4200000000000011E-2</v>
      </c>
      <c r="F5">
        <v>0.99743743043573496</v>
      </c>
      <c r="H5" s="1">
        <f>AVERAGEIFS(F:F,A:A,"&lt;48")</f>
        <v>0.99298662883590794</v>
      </c>
      <c r="I5" s="1">
        <f>AVERAGEIFS(F:F,A:A,"&gt;=48",A:A,"&lt;108")</f>
        <v>0.64825253417343065</v>
      </c>
      <c r="J5" s="1">
        <f>AVERAGEIFS(F:F,A:A,"&gt;=108",A:A,"&lt;138")</f>
        <v>0.22991702634979866</v>
      </c>
      <c r="K5" s="1">
        <f>AVERAGEIFS(F:F,A:A,"&gt;=138")</f>
        <v>0.95742369167207186</v>
      </c>
    </row>
    <row r="6" spans="1:11" x14ac:dyDescent="0.35">
      <c r="A6">
        <v>7.2942380905151367</v>
      </c>
      <c r="B6">
        <v>8.4999999999999992E-2</v>
      </c>
      <c r="C6">
        <v>1.3999999999999999E-2</v>
      </c>
      <c r="D6">
        <v>0</v>
      </c>
      <c r="E6">
        <v>9.8999999999999991E-2</v>
      </c>
      <c r="F6">
        <v>0.99698700253132733</v>
      </c>
    </row>
    <row r="7" spans="1:11" x14ac:dyDescent="0.35">
      <c r="A7">
        <v>7.3085751533508301</v>
      </c>
      <c r="B7">
        <v>8.3299999999999999E-2</v>
      </c>
      <c r="C7">
        <v>1.0999999999999996E-2</v>
      </c>
      <c r="D7">
        <v>0</v>
      </c>
      <c r="E7">
        <v>9.4299999999999995E-2</v>
      </c>
      <c r="F7">
        <v>0.99713004382529458</v>
      </c>
    </row>
    <row r="8" spans="1:11" x14ac:dyDescent="0.35">
      <c r="A8">
        <v>7.3124048709869385</v>
      </c>
      <c r="B8">
        <v>9.0999999999999998E-2</v>
      </c>
      <c r="C8">
        <v>2.6000000000000002E-2</v>
      </c>
      <c r="D8">
        <v>0</v>
      </c>
      <c r="E8">
        <v>0.11699999999999999</v>
      </c>
      <c r="F8">
        <v>0.99643918480975047</v>
      </c>
      <c r="H8" s="2" t="s">
        <v>11</v>
      </c>
      <c r="I8" s="2"/>
      <c r="J8" s="2"/>
      <c r="K8" s="2"/>
    </row>
    <row r="9" spans="1:11" x14ac:dyDescent="0.35">
      <c r="A9">
        <v>7.3147299289703369</v>
      </c>
      <c r="B9">
        <v>8.2400000000000001E-2</v>
      </c>
      <c r="C9">
        <v>1.1000000000000003E-2</v>
      </c>
      <c r="D9">
        <v>0</v>
      </c>
      <c r="E9">
        <v>9.3400000000000011E-2</v>
      </c>
      <c r="F9">
        <v>0.99715743471137341</v>
      </c>
      <c r="H9" s="3" t="s">
        <v>7</v>
      </c>
      <c r="I9" s="3"/>
      <c r="J9" s="3" t="s">
        <v>8</v>
      </c>
      <c r="K9" s="3"/>
    </row>
    <row r="10" spans="1:11" x14ac:dyDescent="0.35">
      <c r="A10">
        <v>10.486932992935181</v>
      </c>
      <c r="B10">
        <v>8.6900000000000005E-2</v>
      </c>
      <c r="C10">
        <v>2.1999999999999999E-2</v>
      </c>
      <c r="D10">
        <v>0</v>
      </c>
      <c r="E10">
        <v>0.1089</v>
      </c>
      <c r="F10">
        <v>0.99668570278446</v>
      </c>
      <c r="H10" s="4">
        <f>(([1]Sheet1!$I$5)-I5)/I5</f>
        <v>-1</v>
      </c>
      <c r="I10" s="4"/>
      <c r="J10" s="4">
        <f>(([1]Sheet1!$J$5)-J5)/J5</f>
        <v>-1</v>
      </c>
      <c r="K10" s="4"/>
    </row>
    <row r="11" spans="1:11" x14ac:dyDescent="0.35">
      <c r="A11">
        <v>11.083200216293335</v>
      </c>
      <c r="B11">
        <v>9.8799999999999999E-2</v>
      </c>
      <c r="C11">
        <v>2.2000000000000006E-2</v>
      </c>
      <c r="D11">
        <v>0</v>
      </c>
      <c r="E11">
        <v>0.1208</v>
      </c>
      <c r="F11">
        <v>0.99632353440186194</v>
      </c>
    </row>
    <row r="12" spans="1:11" x14ac:dyDescent="0.35">
      <c r="A12">
        <v>11.119302988052368</v>
      </c>
      <c r="B12">
        <v>7.3099999999999998E-2</v>
      </c>
      <c r="C12">
        <v>1.0999999999999996E-2</v>
      </c>
      <c r="D12">
        <v>0</v>
      </c>
      <c r="E12">
        <v>8.4099999999999994E-2</v>
      </c>
      <c r="F12">
        <v>0.99744047386752144</v>
      </c>
    </row>
    <row r="13" spans="1:11" x14ac:dyDescent="0.35">
      <c r="A13">
        <v>11.121540069580078</v>
      </c>
      <c r="B13">
        <v>0.1192</v>
      </c>
      <c r="C13">
        <v>3.8999999999999993E-2</v>
      </c>
      <c r="D13">
        <v>0</v>
      </c>
      <c r="E13">
        <v>0.15820000000000001</v>
      </c>
      <c r="F13">
        <v>0.99518529091369667</v>
      </c>
    </row>
    <row r="14" spans="1:11" x14ac:dyDescent="0.35">
      <c r="A14">
        <v>14.163135051727295</v>
      </c>
      <c r="B14">
        <v>7.3599999999999999E-2</v>
      </c>
      <c r="C14">
        <v>8.0000000000000002E-3</v>
      </c>
      <c r="D14">
        <v>0</v>
      </c>
      <c r="E14">
        <v>8.1600000000000006E-2</v>
      </c>
      <c r="F14">
        <v>0.99751655966218489</v>
      </c>
    </row>
    <row r="15" spans="1:11" x14ac:dyDescent="0.35">
      <c r="A15">
        <v>14.172330141067505</v>
      </c>
      <c r="B15">
        <v>8.2000000000000003E-2</v>
      </c>
      <c r="C15">
        <v>2.3E-2</v>
      </c>
      <c r="D15">
        <v>0</v>
      </c>
      <c r="E15">
        <v>0.10500000000000001</v>
      </c>
      <c r="F15">
        <v>0.996804396624135</v>
      </c>
    </row>
    <row r="16" spans="1:11" x14ac:dyDescent="0.35">
      <c r="A16">
        <v>14.174345016479492</v>
      </c>
      <c r="B16">
        <v>8.1599999999999992E-2</v>
      </c>
      <c r="C16">
        <v>2.3E-2</v>
      </c>
      <c r="D16">
        <v>0</v>
      </c>
      <c r="E16">
        <v>0.1046</v>
      </c>
      <c r="F16">
        <v>0.99681657035128113</v>
      </c>
    </row>
    <row r="17" spans="1:6" x14ac:dyDescent="0.35">
      <c r="A17">
        <v>14.7184898853302</v>
      </c>
      <c r="B17">
        <v>7.4899999999999994E-2</v>
      </c>
      <c r="C17">
        <v>7.0000000000000062E-3</v>
      </c>
      <c r="D17">
        <v>0</v>
      </c>
      <c r="E17">
        <v>8.1900000000000001E-2</v>
      </c>
      <c r="F17">
        <v>0.99750742936682535</v>
      </c>
    </row>
    <row r="18" spans="1:6" x14ac:dyDescent="0.35">
      <c r="A18">
        <v>15.673243045806885</v>
      </c>
      <c r="B18">
        <v>8.14E-2</v>
      </c>
      <c r="C18">
        <v>2.4E-2</v>
      </c>
      <c r="D18">
        <v>0</v>
      </c>
      <c r="E18">
        <v>0.10539999999999999</v>
      </c>
      <c r="F18">
        <v>0.99679222289698888</v>
      </c>
    </row>
    <row r="19" spans="1:6" x14ac:dyDescent="0.35">
      <c r="A19">
        <v>16.645960092544556</v>
      </c>
      <c r="B19">
        <v>7.0199999999999999E-2</v>
      </c>
      <c r="C19">
        <v>1.4999999999999999E-2</v>
      </c>
      <c r="D19">
        <v>0</v>
      </c>
      <c r="E19">
        <v>8.5199999999999998E-2</v>
      </c>
      <c r="F19">
        <v>0.99740699611786954</v>
      </c>
    </row>
    <row r="20" spans="1:6" x14ac:dyDescent="0.35">
      <c r="A20">
        <v>17.703007936477661</v>
      </c>
      <c r="B20">
        <v>7.5899999999999995E-2</v>
      </c>
      <c r="C20">
        <v>1.7000000000000001E-2</v>
      </c>
      <c r="D20">
        <v>0</v>
      </c>
      <c r="E20">
        <v>9.2899999999999996E-2</v>
      </c>
      <c r="F20">
        <v>0.99717265187030613</v>
      </c>
    </row>
    <row r="21" spans="1:6" x14ac:dyDescent="0.35">
      <c r="A21">
        <v>18.657357215881348</v>
      </c>
      <c r="B21">
        <v>7.7399999999999997E-2</v>
      </c>
      <c r="C21">
        <v>3.6999999999999991E-2</v>
      </c>
      <c r="D21">
        <v>0</v>
      </c>
      <c r="E21">
        <v>0.11439999999999999</v>
      </c>
      <c r="F21">
        <v>0.99651831403620039</v>
      </c>
    </row>
    <row r="22" spans="1:6" x14ac:dyDescent="0.35">
      <c r="A22">
        <v>19.705356121063232</v>
      </c>
      <c r="B22">
        <v>9.9500000000000005E-2</v>
      </c>
      <c r="C22">
        <v>4.5999999999999999E-2</v>
      </c>
      <c r="D22">
        <v>0</v>
      </c>
      <c r="E22">
        <v>0.14550000000000002</v>
      </c>
      <c r="F22">
        <v>0.9955718067505871</v>
      </c>
    </row>
    <row r="23" spans="1:6" x14ac:dyDescent="0.35">
      <c r="A23">
        <v>20.718693971633911</v>
      </c>
      <c r="B23">
        <v>0.1004</v>
      </c>
      <c r="C23">
        <v>1.9000000000000003E-2</v>
      </c>
      <c r="D23">
        <v>0</v>
      </c>
      <c r="E23">
        <v>0.11940000000000001</v>
      </c>
      <c r="F23">
        <v>0.99636614244687349</v>
      </c>
    </row>
    <row r="24" spans="1:6" x14ac:dyDescent="0.35">
      <c r="A24">
        <v>22.151702165603638</v>
      </c>
      <c r="B24">
        <v>0.13969999999999999</v>
      </c>
      <c r="C24">
        <v>9.4000000000000014E-2</v>
      </c>
      <c r="D24">
        <v>0</v>
      </c>
      <c r="E24">
        <v>0.23370000000000002</v>
      </c>
      <c r="F24">
        <v>0.99288749991486047</v>
      </c>
    </row>
    <row r="25" spans="1:6" x14ac:dyDescent="0.35">
      <c r="A25">
        <v>23.876929044723511</v>
      </c>
      <c r="B25">
        <v>7.5899999999999995E-2</v>
      </c>
      <c r="C25">
        <v>1.3999999999999999E-2</v>
      </c>
      <c r="D25">
        <v>0</v>
      </c>
      <c r="E25">
        <v>8.9899999999999994E-2</v>
      </c>
      <c r="F25">
        <v>0.99726395482390229</v>
      </c>
    </row>
    <row r="26" spans="1:6" x14ac:dyDescent="0.35">
      <c r="A26">
        <v>24.056684017181396</v>
      </c>
      <c r="B26">
        <v>0.10640000000000001</v>
      </c>
      <c r="C26">
        <v>4.7000000000000014E-2</v>
      </c>
      <c r="D26">
        <v>0</v>
      </c>
      <c r="E26">
        <v>0.15340000000000004</v>
      </c>
      <c r="F26">
        <v>0.99533137563945051</v>
      </c>
    </row>
    <row r="27" spans="1:6" x14ac:dyDescent="0.35">
      <c r="A27">
        <v>24.727113008499146</v>
      </c>
      <c r="B27">
        <v>9.01E-2</v>
      </c>
      <c r="C27">
        <v>2.2000000000000006E-2</v>
      </c>
      <c r="D27">
        <v>0</v>
      </c>
      <c r="E27">
        <v>0.11210000000000001</v>
      </c>
      <c r="F27">
        <v>0.99658831296729078</v>
      </c>
    </row>
    <row r="28" spans="1:6" x14ac:dyDescent="0.35">
      <c r="A28">
        <v>25.778446912765503</v>
      </c>
      <c r="B28">
        <v>7.3099999999999998E-2</v>
      </c>
      <c r="C28">
        <v>1.2999999999999998E-2</v>
      </c>
      <c r="D28">
        <v>0</v>
      </c>
      <c r="E28">
        <v>8.6099999999999996E-2</v>
      </c>
      <c r="F28">
        <v>0.9973796052317907</v>
      </c>
    </row>
    <row r="29" spans="1:6" x14ac:dyDescent="0.35">
      <c r="A29">
        <v>26.739482164382935</v>
      </c>
      <c r="B29">
        <v>0.12920000000000001</v>
      </c>
      <c r="C29">
        <v>2.2000000000000006E-2</v>
      </c>
      <c r="D29">
        <v>0</v>
      </c>
      <c r="E29">
        <v>0.1512</v>
      </c>
      <c r="F29">
        <v>0.99539833113875442</v>
      </c>
    </row>
    <row r="30" spans="1:6" x14ac:dyDescent="0.35">
      <c r="A30">
        <v>27.687865018844604</v>
      </c>
      <c r="B30">
        <v>0.10829999999999999</v>
      </c>
      <c r="C30">
        <v>6.0999999999999992E-2</v>
      </c>
      <c r="D30">
        <v>0</v>
      </c>
      <c r="E30">
        <v>0.16929999999999998</v>
      </c>
      <c r="F30">
        <v>0.99484746998539098</v>
      </c>
    </row>
    <row r="31" spans="1:6" x14ac:dyDescent="0.35">
      <c r="A31">
        <v>28.734396934509277</v>
      </c>
      <c r="B31">
        <v>8.7800000000000003E-2</v>
      </c>
      <c r="C31">
        <v>1.5000000000000006E-2</v>
      </c>
      <c r="D31">
        <v>0</v>
      </c>
      <c r="E31">
        <v>0.1028</v>
      </c>
      <c r="F31">
        <v>0.9968713521234388</v>
      </c>
    </row>
    <row r="32" spans="1:6" x14ac:dyDescent="0.35">
      <c r="A32">
        <v>29.721160173416138</v>
      </c>
      <c r="B32">
        <v>0.15560000000000002</v>
      </c>
      <c r="C32">
        <v>8.5999999999999993E-2</v>
      </c>
      <c r="D32">
        <v>0</v>
      </c>
      <c r="E32">
        <v>0.24160000000000001</v>
      </c>
      <c r="F32">
        <v>0.992647068803724</v>
      </c>
    </row>
    <row r="33" spans="1:6" x14ac:dyDescent="0.35">
      <c r="A33">
        <v>30.699357032775879</v>
      </c>
      <c r="B33">
        <v>0.12409999999999999</v>
      </c>
      <c r="C33">
        <v>4.4000000000000011E-2</v>
      </c>
      <c r="D33">
        <v>0</v>
      </c>
      <c r="E33">
        <v>0.1681</v>
      </c>
      <c r="F33">
        <v>0.99488399116682946</v>
      </c>
    </row>
    <row r="34" spans="1:6" x14ac:dyDescent="0.35">
      <c r="A34">
        <v>31.738301038742065</v>
      </c>
      <c r="B34">
        <v>8.1499999999999989E-2</v>
      </c>
      <c r="C34">
        <v>3.7999999999999992E-2</v>
      </c>
      <c r="D34">
        <v>0</v>
      </c>
      <c r="E34">
        <v>0.11949999999999998</v>
      </c>
      <c r="F34">
        <v>0.99636309901508702</v>
      </c>
    </row>
    <row r="35" spans="1:6" x14ac:dyDescent="0.35">
      <c r="A35">
        <v>32.722656011581421</v>
      </c>
      <c r="B35">
        <v>9.5399999999999999E-2</v>
      </c>
      <c r="C35">
        <v>6.7000000000000004E-2</v>
      </c>
      <c r="D35">
        <v>0</v>
      </c>
      <c r="E35">
        <v>0.16239999999999999</v>
      </c>
      <c r="F35">
        <v>0.99505746677866214</v>
      </c>
    </row>
    <row r="36" spans="1:6" x14ac:dyDescent="0.35">
      <c r="A36">
        <v>33.781992197036743</v>
      </c>
      <c r="B36">
        <v>0.13450000000000001</v>
      </c>
      <c r="C36">
        <v>6.6000000000000017E-2</v>
      </c>
      <c r="D36">
        <v>0</v>
      </c>
      <c r="E36">
        <v>0.20050000000000001</v>
      </c>
      <c r="F36">
        <v>0.99389791926799109</v>
      </c>
    </row>
    <row r="37" spans="1:6" x14ac:dyDescent="0.35">
      <c r="A37">
        <v>34.762027978897095</v>
      </c>
      <c r="B37">
        <v>9.0700000000000003E-2</v>
      </c>
      <c r="C37">
        <v>1.7999999999999988E-2</v>
      </c>
      <c r="D37">
        <v>0</v>
      </c>
      <c r="E37">
        <v>0.10869999999999999</v>
      </c>
      <c r="F37">
        <v>0.99669178964803307</v>
      </c>
    </row>
    <row r="38" spans="1:6" x14ac:dyDescent="0.35">
      <c r="A38">
        <v>35.732025146484375</v>
      </c>
      <c r="B38">
        <v>0.16670000000000001</v>
      </c>
      <c r="C38">
        <v>6.8999999999999992E-2</v>
      </c>
      <c r="D38">
        <v>0</v>
      </c>
      <c r="E38">
        <v>0.23570000000000002</v>
      </c>
      <c r="F38">
        <v>0.99282663127912973</v>
      </c>
    </row>
    <row r="39" spans="1:6" x14ac:dyDescent="0.35">
      <c r="A39">
        <v>36.803186893463135</v>
      </c>
      <c r="B39">
        <v>7.4700000000000003E-2</v>
      </c>
      <c r="C39">
        <v>2.3000000000000007E-2</v>
      </c>
      <c r="D39">
        <v>0</v>
      </c>
      <c r="E39">
        <v>9.7700000000000009E-2</v>
      </c>
      <c r="F39">
        <v>0.99702656714455229</v>
      </c>
    </row>
    <row r="40" spans="1:6" x14ac:dyDescent="0.35">
      <c r="A40">
        <v>37.764853954315186</v>
      </c>
      <c r="B40">
        <v>0.1217</v>
      </c>
      <c r="C40">
        <v>7.5000000000000011E-2</v>
      </c>
      <c r="D40">
        <v>0</v>
      </c>
      <c r="E40">
        <v>0.19670000000000001</v>
      </c>
      <c r="F40">
        <v>0.9940135696758795</v>
      </c>
    </row>
    <row r="41" spans="1:6" x14ac:dyDescent="0.35">
      <c r="A41">
        <v>38.72773003578186</v>
      </c>
      <c r="B41">
        <v>0.15010000000000001</v>
      </c>
      <c r="C41">
        <v>0.05</v>
      </c>
      <c r="D41">
        <v>0</v>
      </c>
      <c r="E41">
        <v>0.2001</v>
      </c>
      <c r="F41">
        <v>0.99391009299513722</v>
      </c>
    </row>
    <row r="42" spans="1:6" x14ac:dyDescent="0.35">
      <c r="A42">
        <v>39.7916100025177</v>
      </c>
      <c r="B42">
        <v>0.16240000000000002</v>
      </c>
      <c r="C42">
        <v>0.127</v>
      </c>
      <c r="D42">
        <v>0</v>
      </c>
      <c r="E42">
        <v>0.28939999999999999</v>
      </c>
      <c r="F42">
        <v>0.99119230840975869</v>
      </c>
    </row>
    <row r="43" spans="1:6" x14ac:dyDescent="0.35">
      <c r="A43">
        <v>40.751177072525024</v>
      </c>
      <c r="B43">
        <v>0.12610000000000002</v>
      </c>
      <c r="C43">
        <v>4.5999999999999999E-2</v>
      </c>
      <c r="D43">
        <v>0</v>
      </c>
      <c r="E43">
        <v>0.17210000000000003</v>
      </c>
      <c r="F43">
        <v>0.99476225389536788</v>
      </c>
    </row>
    <row r="44" spans="1:6" x14ac:dyDescent="0.35">
      <c r="A44">
        <v>41.719372034072876</v>
      </c>
      <c r="B44">
        <v>0.123</v>
      </c>
      <c r="C44">
        <v>9.0000000000000011E-2</v>
      </c>
      <c r="D44">
        <v>0</v>
      </c>
      <c r="E44">
        <v>0.21300000000000002</v>
      </c>
      <c r="F44">
        <v>0.99351749029467384</v>
      </c>
    </row>
    <row r="45" spans="1:6" x14ac:dyDescent="0.35">
      <c r="A45">
        <v>42.811040878295898</v>
      </c>
      <c r="B45">
        <v>0.13420000000000001</v>
      </c>
      <c r="C45">
        <v>3.7000000000000005E-2</v>
      </c>
      <c r="D45">
        <v>0</v>
      </c>
      <c r="E45">
        <v>0.17120000000000002</v>
      </c>
      <c r="F45">
        <v>0.99478964478144671</v>
      </c>
    </row>
    <row r="46" spans="1:6" x14ac:dyDescent="0.35">
      <c r="A46">
        <v>43.776973009109497</v>
      </c>
      <c r="B46">
        <v>0.13150000000000001</v>
      </c>
      <c r="C46">
        <v>7.8000000000000014E-2</v>
      </c>
      <c r="D46">
        <v>0</v>
      </c>
      <c r="E46">
        <v>0.20950000000000002</v>
      </c>
      <c r="F46">
        <v>0.99362401040720272</v>
      </c>
    </row>
    <row r="47" spans="1:6" x14ac:dyDescent="0.35">
      <c r="A47">
        <v>44.754568099975586</v>
      </c>
      <c r="B47">
        <v>0.17660000000000001</v>
      </c>
      <c r="C47">
        <v>0.11400000000000002</v>
      </c>
      <c r="D47">
        <v>0</v>
      </c>
      <c r="E47">
        <v>0.29060000000000002</v>
      </c>
      <c r="F47">
        <v>0.99115578722832032</v>
      </c>
    </row>
    <row r="48" spans="1:6" x14ac:dyDescent="0.35">
      <c r="A48">
        <v>45.815873861312866</v>
      </c>
      <c r="B48">
        <v>0.1714</v>
      </c>
      <c r="C48">
        <v>3.6999999999999977E-2</v>
      </c>
      <c r="D48">
        <v>0</v>
      </c>
      <c r="E48">
        <v>0.20839999999999997</v>
      </c>
      <c r="F48">
        <v>0.99365748815685462</v>
      </c>
    </row>
    <row r="49" spans="1:6" x14ac:dyDescent="0.35">
      <c r="A49">
        <v>46.811996936798096</v>
      </c>
      <c r="B49">
        <v>9.8599999999999993E-2</v>
      </c>
      <c r="C49">
        <v>5.5E-2</v>
      </c>
      <c r="D49">
        <v>0</v>
      </c>
      <c r="E49">
        <v>0.15359999999999999</v>
      </c>
      <c r="F49">
        <v>0.99532528877587745</v>
      </c>
    </row>
    <row r="50" spans="1:6" x14ac:dyDescent="0.35">
      <c r="A50">
        <v>47.791926860809326</v>
      </c>
      <c r="B50">
        <v>3.8011000000000004</v>
      </c>
      <c r="C50">
        <v>0.65000000000000036</v>
      </c>
      <c r="D50">
        <v>0</v>
      </c>
      <c r="E50">
        <v>4.4511000000000003</v>
      </c>
      <c r="F50">
        <v>0.86453380774940247</v>
      </c>
    </row>
    <row r="51" spans="1:6" x14ac:dyDescent="0.35">
      <c r="A51">
        <v>48.835910081863403</v>
      </c>
      <c r="B51">
        <v>12.690000000000001</v>
      </c>
      <c r="C51">
        <v>12.540000000000001</v>
      </c>
      <c r="D51">
        <v>0</v>
      </c>
      <c r="E51">
        <v>25.230000000000004</v>
      </c>
      <c r="F51">
        <v>0.23214216025643641</v>
      </c>
    </row>
    <row r="52" spans="1:6" x14ac:dyDescent="0.35">
      <c r="A52">
        <v>49.856659173965454</v>
      </c>
      <c r="B52">
        <v>10.001999999999999</v>
      </c>
      <c r="C52">
        <v>3.1500000000000004</v>
      </c>
      <c r="D52">
        <v>0</v>
      </c>
      <c r="E52">
        <v>13.151999999999999</v>
      </c>
      <c r="F52">
        <v>0.59972785143450869</v>
      </c>
    </row>
    <row r="53" spans="1:6" x14ac:dyDescent="0.35">
      <c r="A53">
        <v>50.806746959686279</v>
      </c>
      <c r="B53">
        <v>8.6639999999999997</v>
      </c>
      <c r="C53">
        <v>5.1300000000000008</v>
      </c>
      <c r="D53">
        <v>0</v>
      </c>
      <c r="E53">
        <v>13.794</v>
      </c>
      <c r="F53">
        <v>0.58018901936493406</v>
      </c>
    </row>
    <row r="54" spans="1:6" x14ac:dyDescent="0.35">
      <c r="A54">
        <v>51.874476909637451</v>
      </c>
      <c r="B54">
        <v>6.1</v>
      </c>
      <c r="C54">
        <v>0.50999999999999979</v>
      </c>
      <c r="D54">
        <v>0</v>
      </c>
      <c r="E54">
        <v>6.6099999999999994</v>
      </c>
      <c r="F54">
        <v>0.79882915890983142</v>
      </c>
    </row>
    <row r="55" spans="1:6" x14ac:dyDescent="0.35">
      <c r="A55">
        <v>52.845587015151978</v>
      </c>
      <c r="B55">
        <v>11.032999999999999</v>
      </c>
      <c r="C55">
        <v>7.51</v>
      </c>
      <c r="D55">
        <v>0</v>
      </c>
      <c r="E55">
        <v>18.542999999999999</v>
      </c>
      <c r="F55">
        <v>0.43565644382223956</v>
      </c>
    </row>
    <row r="56" spans="1:6" x14ac:dyDescent="0.35">
      <c r="A56">
        <v>53.804850101470947</v>
      </c>
      <c r="B56">
        <v>6.6989999999999998</v>
      </c>
      <c r="C56">
        <v>1.2699999999999996</v>
      </c>
      <c r="D56">
        <v>0</v>
      </c>
      <c r="E56">
        <v>7.9689999999999994</v>
      </c>
      <c r="F56">
        <v>0.75746892093077856</v>
      </c>
    </row>
    <row r="57" spans="1:6" x14ac:dyDescent="0.35">
      <c r="A57">
        <v>54.88111400604248</v>
      </c>
      <c r="B57">
        <v>5.2969999999999997</v>
      </c>
      <c r="C57">
        <v>0.59999999999999964</v>
      </c>
      <c r="D57">
        <v>0</v>
      </c>
      <c r="E57">
        <v>5.8969999999999994</v>
      </c>
      <c r="F57">
        <v>0.82052882754784806</v>
      </c>
    </row>
    <row r="58" spans="1:6" x14ac:dyDescent="0.35">
      <c r="A58">
        <v>55.887706995010376</v>
      </c>
      <c r="B58">
        <v>12.428999999999998</v>
      </c>
      <c r="C58">
        <v>5.3199999999999994</v>
      </c>
      <c r="D58">
        <v>0</v>
      </c>
      <c r="E58">
        <v>17.748999999999999</v>
      </c>
      <c r="F58">
        <v>0.45982129220735213</v>
      </c>
    </row>
    <row r="59" spans="1:6" x14ac:dyDescent="0.35">
      <c r="A59">
        <v>56.833369970321655</v>
      </c>
      <c r="B59">
        <v>9.891</v>
      </c>
      <c r="C59">
        <v>6.5699999999999994</v>
      </c>
      <c r="D59">
        <v>0</v>
      </c>
      <c r="E59">
        <v>16.460999999999999</v>
      </c>
      <c r="F59">
        <v>0.49902069361796286</v>
      </c>
    </row>
    <row r="60" spans="1:6" x14ac:dyDescent="0.35">
      <c r="A60">
        <v>57.802323818206787</v>
      </c>
      <c r="B60">
        <v>6.8420000000000005</v>
      </c>
      <c r="C60">
        <v>2.4000000000000004</v>
      </c>
      <c r="D60">
        <v>0</v>
      </c>
      <c r="E60">
        <v>9.2420000000000009</v>
      </c>
      <c r="F60">
        <v>0.71872603428814852</v>
      </c>
    </row>
    <row r="61" spans="1:6" x14ac:dyDescent="0.35">
      <c r="A61">
        <v>58.855548143386841</v>
      </c>
      <c r="B61">
        <v>14.284000000000001</v>
      </c>
      <c r="C61">
        <v>10.719999999999999</v>
      </c>
      <c r="D61">
        <v>0</v>
      </c>
      <c r="E61">
        <v>25.003999999999998</v>
      </c>
      <c r="F61">
        <v>0.23902031609401275</v>
      </c>
    </row>
    <row r="62" spans="1:6" x14ac:dyDescent="0.35">
      <c r="A62">
        <v>59.906258106231689</v>
      </c>
      <c r="B62">
        <v>7.4590000000000005</v>
      </c>
      <c r="C62">
        <v>2.0099999999999998</v>
      </c>
      <c r="D62">
        <v>0</v>
      </c>
      <c r="E62">
        <v>9.4690000000000012</v>
      </c>
      <c r="F62">
        <v>0.71181744413270698</v>
      </c>
    </row>
    <row r="63" spans="1:6" x14ac:dyDescent="0.35">
      <c r="A63">
        <v>60.904302835464478</v>
      </c>
      <c r="B63">
        <v>6.8849999999999998</v>
      </c>
      <c r="C63">
        <v>1.0200000000000005</v>
      </c>
      <c r="D63">
        <v>0</v>
      </c>
      <c r="E63">
        <v>7.9050000000000002</v>
      </c>
      <c r="F63">
        <v>0.75941671727416293</v>
      </c>
    </row>
    <row r="64" spans="1:6" x14ac:dyDescent="0.35">
      <c r="A64">
        <v>61.877302885055542</v>
      </c>
      <c r="B64">
        <v>7.55</v>
      </c>
      <c r="C64">
        <v>0.10999999999999943</v>
      </c>
      <c r="D64">
        <v>0</v>
      </c>
      <c r="E64">
        <v>7.6599999999999993</v>
      </c>
      <c r="F64">
        <v>0.76687312515118133</v>
      </c>
    </row>
    <row r="65" spans="1:6" x14ac:dyDescent="0.35">
      <c r="A65">
        <v>62.828922033309937</v>
      </c>
      <c r="B65">
        <v>6.05</v>
      </c>
      <c r="C65">
        <v>1.1500000000000004</v>
      </c>
      <c r="D65">
        <v>0</v>
      </c>
      <c r="E65">
        <v>7.2</v>
      </c>
      <c r="F65">
        <v>0.78087291136925652</v>
      </c>
    </row>
    <row r="66" spans="1:6" x14ac:dyDescent="0.35">
      <c r="A66">
        <v>63.829900026321411</v>
      </c>
      <c r="B66">
        <v>5.2629999999999999</v>
      </c>
      <c r="C66">
        <v>0.69000000000000039</v>
      </c>
      <c r="D66">
        <v>0</v>
      </c>
      <c r="E66">
        <v>5.9530000000000003</v>
      </c>
      <c r="F66">
        <v>0.81882450574738674</v>
      </c>
    </row>
    <row r="67" spans="1:6" x14ac:dyDescent="0.35">
      <c r="A67">
        <v>64.836283206939697</v>
      </c>
      <c r="B67">
        <v>8.0389999999999997</v>
      </c>
      <c r="C67">
        <v>0.29000000000000004</v>
      </c>
      <c r="D67">
        <v>0</v>
      </c>
      <c r="E67">
        <v>8.3290000000000006</v>
      </c>
      <c r="F67">
        <v>0.74651256649924136</v>
      </c>
    </row>
    <row r="68" spans="1:6" x14ac:dyDescent="0.35">
      <c r="A68">
        <v>65.828867197036743</v>
      </c>
      <c r="B68">
        <v>5.6509999999999998</v>
      </c>
      <c r="C68">
        <v>0.95000000000000018</v>
      </c>
      <c r="D68">
        <v>0</v>
      </c>
      <c r="E68">
        <v>6.601</v>
      </c>
      <c r="F68">
        <v>0.79910306777061979</v>
      </c>
    </row>
    <row r="69" spans="1:6" x14ac:dyDescent="0.35">
      <c r="A69">
        <v>66.827530860900879</v>
      </c>
      <c r="B69">
        <v>11.64</v>
      </c>
      <c r="C69">
        <v>8.8699999999999992</v>
      </c>
      <c r="D69">
        <v>0</v>
      </c>
      <c r="E69">
        <v>20.509999999999998</v>
      </c>
      <c r="F69">
        <v>0.37579214058103505</v>
      </c>
    </row>
    <row r="70" spans="1:6" x14ac:dyDescent="0.35">
      <c r="A70">
        <v>67.928216934204102</v>
      </c>
      <c r="B70">
        <v>5.68</v>
      </c>
      <c r="C70">
        <v>0.40000000000000036</v>
      </c>
      <c r="D70">
        <v>0</v>
      </c>
      <c r="E70">
        <v>6.08</v>
      </c>
      <c r="F70">
        <v>0.8149593473784833</v>
      </c>
    </row>
    <row r="71" spans="1:6" x14ac:dyDescent="0.35">
      <c r="A71">
        <v>68.900042057037354</v>
      </c>
      <c r="B71">
        <v>5.7170000000000005</v>
      </c>
      <c r="C71">
        <v>0.61000000000000032</v>
      </c>
      <c r="D71">
        <v>0</v>
      </c>
      <c r="E71">
        <v>6.3270000000000008</v>
      </c>
      <c r="F71">
        <v>0.80744207086573416</v>
      </c>
    </row>
    <row r="72" spans="1:6" x14ac:dyDescent="0.35">
      <c r="A72">
        <v>69.886790990829468</v>
      </c>
      <c r="B72">
        <v>6.6400000000000006</v>
      </c>
      <c r="C72">
        <v>1.75</v>
      </c>
      <c r="D72">
        <v>0</v>
      </c>
      <c r="E72">
        <v>8.39</v>
      </c>
      <c r="F72">
        <v>0.74465607310945314</v>
      </c>
    </row>
    <row r="73" spans="1:6" x14ac:dyDescent="0.35">
      <c r="A73">
        <v>70.944236993789673</v>
      </c>
      <c r="B73">
        <v>11.463000000000001</v>
      </c>
      <c r="C73">
        <v>6.86</v>
      </c>
      <c r="D73">
        <v>0</v>
      </c>
      <c r="E73">
        <v>18.323</v>
      </c>
      <c r="F73">
        <v>0.44235199375262335</v>
      </c>
    </row>
    <row r="74" spans="1:6" x14ac:dyDescent="0.35">
      <c r="A74">
        <v>71.933799028396606</v>
      </c>
      <c r="B74">
        <v>5.9350000000000005</v>
      </c>
      <c r="C74">
        <v>0.51000000000000068</v>
      </c>
      <c r="D74">
        <v>0</v>
      </c>
      <c r="E74">
        <v>6.4450000000000012</v>
      </c>
      <c r="F74">
        <v>0.80385082135761921</v>
      </c>
    </row>
    <row r="75" spans="1:6" x14ac:dyDescent="0.35">
      <c r="A75">
        <v>72.946393966674805</v>
      </c>
      <c r="B75">
        <v>7.9260000000000002</v>
      </c>
      <c r="C75">
        <v>1.7200000000000006</v>
      </c>
      <c r="D75">
        <v>0</v>
      </c>
      <c r="E75">
        <v>9.6460000000000008</v>
      </c>
      <c r="F75">
        <v>0.70643056987053454</v>
      </c>
    </row>
    <row r="76" spans="1:6" x14ac:dyDescent="0.35">
      <c r="A76">
        <v>73.976593971252441</v>
      </c>
      <c r="B76">
        <v>11.373000000000001</v>
      </c>
      <c r="C76">
        <v>7.39</v>
      </c>
      <c r="D76">
        <v>0</v>
      </c>
      <c r="E76">
        <v>18.763000000000002</v>
      </c>
      <c r="F76">
        <v>0.42896089389185565</v>
      </c>
    </row>
    <row r="77" spans="1:6" x14ac:dyDescent="0.35">
      <c r="A77">
        <v>74.894343852996826</v>
      </c>
      <c r="B77">
        <v>8.9120000000000008</v>
      </c>
      <c r="C77">
        <v>4.4699999999999989</v>
      </c>
      <c r="D77">
        <v>0</v>
      </c>
      <c r="E77">
        <v>13.382</v>
      </c>
      <c r="F77">
        <v>0.59272795832547098</v>
      </c>
    </row>
    <row r="78" spans="1:6" x14ac:dyDescent="0.35">
      <c r="A78">
        <v>75.900728940963745</v>
      </c>
      <c r="B78">
        <v>13.488999999999999</v>
      </c>
      <c r="C78">
        <v>6.6199999999999992</v>
      </c>
      <c r="D78">
        <v>0</v>
      </c>
      <c r="E78">
        <v>20.108999999999998</v>
      </c>
      <c r="F78">
        <v>0.38799630204505287</v>
      </c>
    </row>
    <row r="79" spans="1:6" x14ac:dyDescent="0.35">
      <c r="A79">
        <v>76.908874988555908</v>
      </c>
      <c r="B79">
        <v>6.0469999999999997</v>
      </c>
      <c r="C79">
        <v>0.57000000000000028</v>
      </c>
      <c r="D79">
        <v>0</v>
      </c>
      <c r="E79">
        <v>6.617</v>
      </c>
      <c r="F79">
        <v>0.79861611868477378</v>
      </c>
    </row>
    <row r="80" spans="1:6" x14ac:dyDescent="0.35">
      <c r="A80">
        <v>77.941172122955322</v>
      </c>
      <c r="B80">
        <v>11.504999999999999</v>
      </c>
      <c r="C80">
        <v>17.09</v>
      </c>
      <c r="D80">
        <v>0</v>
      </c>
      <c r="E80">
        <v>28.594999999999999</v>
      </c>
      <c r="F80">
        <v>0.12973068063942939</v>
      </c>
    </row>
    <row r="81" spans="1:6" x14ac:dyDescent="0.35">
      <c r="A81">
        <v>78.962690114974976</v>
      </c>
      <c r="B81">
        <v>7.6579999999999995</v>
      </c>
      <c r="C81">
        <v>2.46</v>
      </c>
      <c r="D81">
        <v>0</v>
      </c>
      <c r="E81">
        <v>10.117999999999999</v>
      </c>
      <c r="F81">
        <v>0.69206557183807482</v>
      </c>
    </row>
    <row r="82" spans="1:6" x14ac:dyDescent="0.35">
      <c r="A82">
        <v>79.957932949066162</v>
      </c>
      <c r="B82">
        <v>5.516</v>
      </c>
      <c r="C82">
        <v>0.92999999999999972</v>
      </c>
      <c r="D82">
        <v>0</v>
      </c>
      <c r="E82">
        <v>6.4459999999999997</v>
      </c>
      <c r="F82">
        <v>0.80382038703975389</v>
      </c>
    </row>
    <row r="83" spans="1:6" x14ac:dyDescent="0.35">
      <c r="A83">
        <v>80.94200611114502</v>
      </c>
      <c r="B83">
        <v>8.0990000000000002</v>
      </c>
      <c r="C83">
        <v>3.7999999999999989</v>
      </c>
      <c r="D83">
        <v>0</v>
      </c>
      <c r="E83">
        <v>11.898999999999999</v>
      </c>
      <c r="F83">
        <v>0.63786205171983112</v>
      </c>
    </row>
    <row r="84" spans="1:6" x14ac:dyDescent="0.35">
      <c r="A84">
        <v>81.939934015274048</v>
      </c>
      <c r="B84">
        <v>10.09</v>
      </c>
      <c r="C84">
        <v>0.90000000000000036</v>
      </c>
      <c r="D84">
        <v>0</v>
      </c>
      <c r="E84">
        <v>10.99</v>
      </c>
      <c r="F84">
        <v>0.66552684665946238</v>
      </c>
    </row>
    <row r="85" spans="1:6" x14ac:dyDescent="0.35">
      <c r="A85">
        <v>82.983367204666138</v>
      </c>
      <c r="B85">
        <v>9.2690000000000001</v>
      </c>
      <c r="C85">
        <v>1.0099999999999998</v>
      </c>
      <c r="D85">
        <v>0</v>
      </c>
      <c r="E85">
        <v>10.279</v>
      </c>
      <c r="F85">
        <v>0.6871656466617484</v>
      </c>
    </row>
    <row r="86" spans="1:6" x14ac:dyDescent="0.35">
      <c r="A86">
        <v>83.88985800743103</v>
      </c>
      <c r="B86">
        <v>6.5389999999999997</v>
      </c>
      <c r="C86">
        <v>1.25</v>
      </c>
      <c r="D86">
        <v>0</v>
      </c>
      <c r="E86">
        <v>7.7889999999999997</v>
      </c>
      <c r="F86">
        <v>0.76294709814654715</v>
      </c>
    </row>
    <row r="87" spans="1:6" x14ac:dyDescent="0.35">
      <c r="A87">
        <v>84.981521844863892</v>
      </c>
      <c r="B87">
        <v>10.526999999999999</v>
      </c>
      <c r="C87">
        <v>0.84999999999999964</v>
      </c>
      <c r="D87">
        <v>0</v>
      </c>
      <c r="E87">
        <v>11.376999999999999</v>
      </c>
      <c r="F87">
        <v>0.65374876564556006</v>
      </c>
    </row>
    <row r="88" spans="1:6" x14ac:dyDescent="0.35">
      <c r="A88">
        <v>85.990531921386719</v>
      </c>
      <c r="B88">
        <v>11.346</v>
      </c>
      <c r="C88">
        <v>9.2799999999999994</v>
      </c>
      <c r="D88">
        <v>0</v>
      </c>
      <c r="E88">
        <v>20.625999999999998</v>
      </c>
      <c r="F88">
        <v>0.37226175970865094</v>
      </c>
    </row>
    <row r="89" spans="1:6" x14ac:dyDescent="0.35">
      <c r="A89">
        <v>86.97265100479126</v>
      </c>
      <c r="B89">
        <v>10.356999999999999</v>
      </c>
      <c r="C89">
        <v>1.1900000000000004</v>
      </c>
      <c r="D89">
        <v>0</v>
      </c>
      <c r="E89">
        <v>11.547000000000001</v>
      </c>
      <c r="F89">
        <v>0.64857493160844526</v>
      </c>
    </row>
    <row r="90" spans="1:6" x14ac:dyDescent="0.35">
      <c r="A90">
        <v>87.94923996925354</v>
      </c>
      <c r="B90">
        <v>8.9929999999999986</v>
      </c>
      <c r="C90">
        <v>0.27000000000000046</v>
      </c>
      <c r="D90">
        <v>0</v>
      </c>
      <c r="E90">
        <v>9.2629999999999981</v>
      </c>
      <c r="F90">
        <v>0.7180869136129755</v>
      </c>
    </row>
    <row r="91" spans="1:6" x14ac:dyDescent="0.35">
      <c r="A91">
        <v>88.936981201171875</v>
      </c>
      <c r="B91">
        <v>9.9280000000000008</v>
      </c>
      <c r="C91">
        <v>1.1600000000000001</v>
      </c>
      <c r="D91">
        <v>0</v>
      </c>
      <c r="E91">
        <v>11.088000000000001</v>
      </c>
      <c r="F91">
        <v>0.66254428350865502</v>
      </c>
    </row>
    <row r="92" spans="1:6" x14ac:dyDescent="0.35">
      <c r="A92">
        <v>89.926671981811523</v>
      </c>
      <c r="B92">
        <v>7.8230000000000004</v>
      </c>
      <c r="C92">
        <v>1.0200000000000005</v>
      </c>
      <c r="D92">
        <v>0</v>
      </c>
      <c r="E92">
        <v>8.843</v>
      </c>
      <c r="F92">
        <v>0.73086932711643549</v>
      </c>
    </row>
    <row r="93" spans="1:6" x14ac:dyDescent="0.35">
      <c r="A93">
        <v>90.919829130172729</v>
      </c>
      <c r="B93">
        <v>5.9320000000000004</v>
      </c>
      <c r="C93">
        <v>1.1400000000000006</v>
      </c>
      <c r="D93">
        <v>0</v>
      </c>
      <c r="E93">
        <v>7.072000000000001</v>
      </c>
      <c r="F93">
        <v>0.78476850405602527</v>
      </c>
    </row>
    <row r="94" spans="1:6" x14ac:dyDescent="0.35">
      <c r="A94">
        <v>91.948596239089966</v>
      </c>
      <c r="B94">
        <v>11.141999999999999</v>
      </c>
      <c r="C94">
        <v>2.5500000000000007</v>
      </c>
      <c r="D94">
        <v>0</v>
      </c>
      <c r="E94">
        <v>13.692</v>
      </c>
      <c r="F94">
        <v>0.58329331978720289</v>
      </c>
    </row>
    <row r="95" spans="1:6" x14ac:dyDescent="0.35">
      <c r="A95">
        <v>92.937750816345215</v>
      </c>
      <c r="B95">
        <v>5.4459999999999997</v>
      </c>
      <c r="C95">
        <v>0.16000000000000014</v>
      </c>
      <c r="D95">
        <v>0</v>
      </c>
      <c r="E95">
        <v>5.6059999999999999</v>
      </c>
      <c r="F95">
        <v>0.82938521404667398</v>
      </c>
    </row>
    <row r="96" spans="1:6" x14ac:dyDescent="0.35">
      <c r="A96">
        <v>93.985504150390625</v>
      </c>
      <c r="B96">
        <v>11.654999999999999</v>
      </c>
      <c r="C96">
        <v>10.7</v>
      </c>
      <c r="D96">
        <v>0</v>
      </c>
      <c r="E96">
        <v>22.354999999999997</v>
      </c>
      <c r="F96">
        <v>0.31964082411940709</v>
      </c>
    </row>
    <row r="97" spans="1:6" x14ac:dyDescent="0.35">
      <c r="A97">
        <v>94.943424940109253</v>
      </c>
      <c r="B97">
        <v>6.1</v>
      </c>
      <c r="C97">
        <v>1.0499999999999998</v>
      </c>
      <c r="D97">
        <v>0</v>
      </c>
      <c r="E97">
        <v>7.1499999999999995</v>
      </c>
      <c r="F97">
        <v>0.78239462726252562</v>
      </c>
    </row>
    <row r="98" spans="1:6" x14ac:dyDescent="0.35">
      <c r="A98">
        <v>95.998764991760254</v>
      </c>
      <c r="B98">
        <v>6.7010000000000005</v>
      </c>
      <c r="C98">
        <v>1.1799999999999997</v>
      </c>
      <c r="D98">
        <v>0</v>
      </c>
      <c r="E98">
        <v>7.8810000000000002</v>
      </c>
      <c r="F98">
        <v>0.76014714090293212</v>
      </c>
    </row>
    <row r="99" spans="1:6" x14ac:dyDescent="0.35">
      <c r="A99">
        <v>97.00899600982666</v>
      </c>
      <c r="B99">
        <v>13.697999999999999</v>
      </c>
      <c r="C99">
        <v>1.9799999999999995</v>
      </c>
      <c r="D99">
        <v>0</v>
      </c>
      <c r="E99">
        <v>15.677999999999997</v>
      </c>
      <c r="F99">
        <v>0.52285076450655632</v>
      </c>
    </row>
    <row r="100" spans="1:6" x14ac:dyDescent="0.35">
      <c r="A100">
        <v>97.997164011001587</v>
      </c>
      <c r="B100">
        <v>5.1180000000000003</v>
      </c>
      <c r="C100">
        <v>0.92999999999999972</v>
      </c>
      <c r="D100">
        <v>0</v>
      </c>
      <c r="E100">
        <v>6.048</v>
      </c>
      <c r="F100">
        <v>0.81593324555017555</v>
      </c>
    </row>
    <row r="101" spans="1:6" x14ac:dyDescent="0.35">
      <c r="A101">
        <v>99.006333827972412</v>
      </c>
      <c r="B101">
        <v>6.1289999999999996</v>
      </c>
      <c r="C101">
        <v>1.04</v>
      </c>
      <c r="D101">
        <v>0</v>
      </c>
      <c r="E101">
        <v>7.1689999999999996</v>
      </c>
      <c r="F101">
        <v>0.78181637522308334</v>
      </c>
    </row>
    <row r="102" spans="1:6" x14ac:dyDescent="0.35">
      <c r="A102">
        <v>100.00289011001587</v>
      </c>
      <c r="B102">
        <v>5.9320000000000004</v>
      </c>
      <c r="C102">
        <v>0.9399999999999995</v>
      </c>
      <c r="D102">
        <v>0</v>
      </c>
      <c r="E102">
        <v>6.8719999999999999</v>
      </c>
      <c r="F102">
        <v>0.79085536762910158</v>
      </c>
    </row>
    <row r="103" spans="1:6" x14ac:dyDescent="0.35">
      <c r="A103">
        <v>101.01896023750305</v>
      </c>
      <c r="B103">
        <v>18.657</v>
      </c>
      <c r="C103">
        <v>10.599999999999998</v>
      </c>
      <c r="D103">
        <v>0</v>
      </c>
      <c r="E103">
        <v>29.256999999999998</v>
      </c>
      <c r="F103">
        <v>0.10958316221254727</v>
      </c>
    </row>
    <row r="104" spans="1:6" x14ac:dyDescent="0.35">
      <c r="A104">
        <v>102.02582907676697</v>
      </c>
      <c r="B104">
        <v>8.254999999999999</v>
      </c>
      <c r="C104">
        <v>3.09</v>
      </c>
      <c r="D104">
        <v>0</v>
      </c>
      <c r="E104">
        <v>11.344999999999999</v>
      </c>
      <c r="F104">
        <v>0.6547226638172523</v>
      </c>
    </row>
    <row r="105" spans="1:6" x14ac:dyDescent="0.35">
      <c r="A105">
        <v>102.95346212387085</v>
      </c>
      <c r="B105">
        <v>6.3480000000000008</v>
      </c>
      <c r="C105">
        <v>0.5</v>
      </c>
      <c r="D105">
        <v>0</v>
      </c>
      <c r="E105">
        <v>6.8480000000000008</v>
      </c>
      <c r="F105">
        <v>0.79158579125787065</v>
      </c>
    </row>
    <row r="106" spans="1:6" x14ac:dyDescent="0.35">
      <c r="A106">
        <v>103.98468899726868</v>
      </c>
      <c r="B106">
        <v>7.1310000000000002</v>
      </c>
      <c r="C106">
        <v>0.90999999999999925</v>
      </c>
      <c r="D106">
        <v>0</v>
      </c>
      <c r="E106">
        <v>8.0410000000000004</v>
      </c>
      <c r="F106">
        <v>0.75527765004447112</v>
      </c>
    </row>
    <row r="107" spans="1:6" x14ac:dyDescent="0.35">
      <c r="A107">
        <v>104.99101305007935</v>
      </c>
      <c r="B107">
        <v>7.4739999999999993</v>
      </c>
      <c r="C107">
        <v>0.57000000000000028</v>
      </c>
      <c r="D107">
        <v>0</v>
      </c>
      <c r="E107">
        <v>8.0440000000000005</v>
      </c>
      <c r="F107">
        <v>0.75518634709087495</v>
      </c>
    </row>
    <row r="108" spans="1:6" x14ac:dyDescent="0.35">
      <c r="A108">
        <v>106.01848316192627</v>
      </c>
      <c r="B108">
        <v>5.1869999999999994</v>
      </c>
      <c r="C108">
        <v>0.62999999999999989</v>
      </c>
      <c r="D108">
        <v>0</v>
      </c>
      <c r="E108">
        <v>5.8169999999999993</v>
      </c>
      <c r="F108">
        <v>0.82296357297707856</v>
      </c>
    </row>
    <row r="109" spans="1:6" x14ac:dyDescent="0.35">
      <c r="A109">
        <v>107.03830289840698</v>
      </c>
      <c r="B109">
        <v>6.0430000000000001</v>
      </c>
      <c r="C109">
        <v>0.76000000000000068</v>
      </c>
      <c r="D109">
        <v>0</v>
      </c>
      <c r="E109">
        <v>6.8030000000000008</v>
      </c>
      <c r="F109">
        <v>0.79295533556181286</v>
      </c>
    </row>
    <row r="110" spans="1:6" x14ac:dyDescent="0.35">
      <c r="A110">
        <v>108.03639197349548</v>
      </c>
      <c r="B110">
        <v>10.244</v>
      </c>
      <c r="C110">
        <v>1.4400000000000004</v>
      </c>
      <c r="D110">
        <v>0</v>
      </c>
      <c r="E110">
        <v>11.684000000000001</v>
      </c>
      <c r="F110">
        <v>0.64440543006088802</v>
      </c>
    </row>
    <row r="111" spans="1:6" x14ac:dyDescent="0.35">
      <c r="A111">
        <v>109.05237817764282</v>
      </c>
      <c r="B111">
        <v>15.044444444444444</v>
      </c>
      <c r="C111">
        <v>1.9999999999999991</v>
      </c>
      <c r="D111">
        <v>10</v>
      </c>
      <c r="E111">
        <v>37.044444444444444</v>
      </c>
      <c r="F111">
        <v>0</v>
      </c>
    </row>
    <row r="112" spans="1:6" x14ac:dyDescent="0.35">
      <c r="A112">
        <v>109.97952318191528</v>
      </c>
      <c r="B112">
        <v>22.766666666666666</v>
      </c>
      <c r="C112">
        <v>6.35</v>
      </c>
      <c r="D112">
        <v>10</v>
      </c>
      <c r="E112">
        <v>49.116666666666667</v>
      </c>
      <c r="F112">
        <v>0</v>
      </c>
    </row>
    <row r="113" spans="1:6" x14ac:dyDescent="0.35">
      <c r="A113">
        <v>111.07228422164917</v>
      </c>
      <c r="B113">
        <v>16.14</v>
      </c>
      <c r="C113">
        <v>1.8000000000000007</v>
      </c>
      <c r="D113">
        <v>0</v>
      </c>
      <c r="E113">
        <v>17.940000000000001</v>
      </c>
      <c r="F113">
        <v>0.45400833749506431</v>
      </c>
    </row>
    <row r="114" spans="1:6" x14ac:dyDescent="0.35">
      <c r="A114">
        <v>112.05914688110352</v>
      </c>
      <c r="B114">
        <v>16.220000000000002</v>
      </c>
      <c r="C114">
        <v>1.6999999999999993</v>
      </c>
      <c r="D114">
        <v>0</v>
      </c>
      <c r="E114">
        <v>17.920000000000002</v>
      </c>
      <c r="F114">
        <v>0.4546170238523719</v>
      </c>
    </row>
    <row r="115" spans="1:6" x14ac:dyDescent="0.35">
      <c r="A115">
        <v>113.05872511863708</v>
      </c>
      <c r="B115">
        <v>20.177777777777777</v>
      </c>
      <c r="C115">
        <v>3.3000000000000007</v>
      </c>
      <c r="D115">
        <v>10</v>
      </c>
      <c r="E115">
        <v>43.477777777777774</v>
      </c>
      <c r="F115">
        <v>0</v>
      </c>
    </row>
    <row r="116" spans="1:6" x14ac:dyDescent="0.35">
      <c r="A116">
        <v>114.07712006568909</v>
      </c>
      <c r="B116">
        <v>19.700000000000003</v>
      </c>
      <c r="C116">
        <v>4.4499999999999993</v>
      </c>
      <c r="D116">
        <v>10</v>
      </c>
      <c r="E116">
        <v>44.150000000000006</v>
      </c>
      <c r="F116">
        <v>0</v>
      </c>
    </row>
    <row r="117" spans="1:6" x14ac:dyDescent="0.35">
      <c r="A117">
        <v>115.08485388755798</v>
      </c>
      <c r="B117">
        <v>22.744444444444444</v>
      </c>
      <c r="C117">
        <v>6.9999999999999991</v>
      </c>
      <c r="D117">
        <v>10</v>
      </c>
      <c r="E117">
        <v>49.74444444444444</v>
      </c>
      <c r="F117">
        <v>0</v>
      </c>
    </row>
    <row r="118" spans="1:6" x14ac:dyDescent="0.35">
      <c r="A118">
        <v>116.00865697860718</v>
      </c>
      <c r="B118">
        <v>24.84</v>
      </c>
      <c r="C118">
        <v>12.000000000000002</v>
      </c>
      <c r="D118">
        <v>0</v>
      </c>
      <c r="E118">
        <v>36.840000000000003</v>
      </c>
      <c r="F118">
        <v>0</v>
      </c>
    </row>
    <row r="119" spans="1:6" x14ac:dyDescent="0.35">
      <c r="A119">
        <v>119.75685000419617</v>
      </c>
      <c r="B119">
        <v>16.47</v>
      </c>
      <c r="C119">
        <v>3.5</v>
      </c>
      <c r="D119">
        <v>0</v>
      </c>
      <c r="E119">
        <v>19.97</v>
      </c>
      <c r="F119">
        <v>0.39222667222834084</v>
      </c>
    </row>
    <row r="120" spans="1:6" x14ac:dyDescent="0.35">
      <c r="A120">
        <v>121.4172899723053</v>
      </c>
      <c r="B120">
        <v>24.111111111111111</v>
      </c>
      <c r="C120">
        <v>8.7999999999999989</v>
      </c>
      <c r="D120">
        <v>10</v>
      </c>
      <c r="E120">
        <v>52.911111111111111</v>
      </c>
      <c r="F120">
        <v>0</v>
      </c>
    </row>
    <row r="121" spans="1:6" x14ac:dyDescent="0.35">
      <c r="A121">
        <v>121.6726381778717</v>
      </c>
      <c r="B121">
        <v>20.177777777777777</v>
      </c>
      <c r="C121">
        <v>3.6499999999999995</v>
      </c>
      <c r="D121">
        <v>10</v>
      </c>
      <c r="E121">
        <v>43.827777777777776</v>
      </c>
      <c r="F121">
        <v>0</v>
      </c>
    </row>
    <row r="122" spans="1:6" x14ac:dyDescent="0.35">
      <c r="A122">
        <v>121.67780900001526</v>
      </c>
      <c r="B122">
        <v>15.87</v>
      </c>
      <c r="C122">
        <v>2.0999999999999979</v>
      </c>
      <c r="D122">
        <v>0</v>
      </c>
      <c r="E122">
        <v>17.97</v>
      </c>
      <c r="F122">
        <v>0.45309530795910291</v>
      </c>
    </row>
    <row r="123" spans="1:6" x14ac:dyDescent="0.35">
      <c r="A123">
        <v>121.68273496627808</v>
      </c>
      <c r="B123">
        <v>20.266666666666666</v>
      </c>
      <c r="C123">
        <v>3.05</v>
      </c>
      <c r="D123">
        <v>10</v>
      </c>
      <c r="E123">
        <v>43.316666666666663</v>
      </c>
      <c r="F123">
        <v>0</v>
      </c>
    </row>
    <row r="124" spans="1:6" x14ac:dyDescent="0.35">
      <c r="A124">
        <v>122.05773997306824</v>
      </c>
      <c r="B124">
        <v>16.72</v>
      </c>
      <c r="C124">
        <v>2.6999999999999993</v>
      </c>
      <c r="D124">
        <v>0</v>
      </c>
      <c r="E124">
        <v>19.419999999999998</v>
      </c>
      <c r="F124">
        <v>0.40896554705430044</v>
      </c>
    </row>
    <row r="125" spans="1:6" x14ac:dyDescent="0.35">
      <c r="A125">
        <v>123.02859997749329</v>
      </c>
      <c r="B125">
        <v>15.559999999999999</v>
      </c>
      <c r="C125">
        <v>2.9000000000000021</v>
      </c>
      <c r="D125">
        <v>0</v>
      </c>
      <c r="E125">
        <v>18.46</v>
      </c>
      <c r="F125">
        <v>0.43818249220506611</v>
      </c>
    </row>
    <row r="126" spans="1:6" x14ac:dyDescent="0.35">
      <c r="A126">
        <v>124.64167785644531</v>
      </c>
      <c r="B126">
        <v>16.600000000000001</v>
      </c>
      <c r="C126">
        <v>4.0500000000000007</v>
      </c>
      <c r="D126">
        <v>10</v>
      </c>
      <c r="E126">
        <v>40.650000000000006</v>
      </c>
      <c r="F126">
        <v>0</v>
      </c>
    </row>
    <row r="127" spans="1:6" x14ac:dyDescent="0.35">
      <c r="A127">
        <v>125.04325795173645</v>
      </c>
      <c r="B127">
        <v>15.819999999999999</v>
      </c>
      <c r="C127">
        <v>2.2999999999999989</v>
      </c>
      <c r="D127">
        <v>0</v>
      </c>
      <c r="E127">
        <v>18.119999999999997</v>
      </c>
      <c r="F127">
        <v>0.44853016027929582</v>
      </c>
    </row>
    <row r="128" spans="1:6" x14ac:dyDescent="0.35">
      <c r="A128">
        <v>126.96246123313904</v>
      </c>
      <c r="B128">
        <v>15.311111111111112</v>
      </c>
      <c r="C128">
        <v>1.3499999999999996</v>
      </c>
      <c r="D128">
        <v>10</v>
      </c>
      <c r="E128">
        <v>36.661111111111111</v>
      </c>
      <c r="F128">
        <v>0</v>
      </c>
    </row>
    <row r="129" spans="1:6" x14ac:dyDescent="0.35">
      <c r="A129">
        <v>127.42703413963318</v>
      </c>
      <c r="B129">
        <v>16.630000000000003</v>
      </c>
      <c r="C129">
        <v>1.8999999999999986</v>
      </c>
      <c r="D129">
        <v>0</v>
      </c>
      <c r="E129">
        <v>18.53</v>
      </c>
      <c r="F129">
        <v>0.43605208995448941</v>
      </c>
    </row>
    <row r="130" spans="1:6" x14ac:dyDescent="0.35">
      <c r="A130">
        <v>128.13862705230713</v>
      </c>
      <c r="B130">
        <v>16.100000000000001</v>
      </c>
      <c r="C130">
        <v>0.85000000000000053</v>
      </c>
      <c r="D130">
        <v>10</v>
      </c>
      <c r="E130">
        <v>36.950000000000003</v>
      </c>
      <c r="F130">
        <v>0</v>
      </c>
    </row>
    <row r="131" spans="1:6" x14ac:dyDescent="0.35">
      <c r="A131">
        <v>129.02218103408813</v>
      </c>
      <c r="B131">
        <v>15.930000000000001</v>
      </c>
      <c r="C131">
        <v>3</v>
      </c>
      <c r="D131">
        <v>0</v>
      </c>
      <c r="E131">
        <v>18.93</v>
      </c>
      <c r="F131">
        <v>0.42387836280833713</v>
      </c>
    </row>
    <row r="132" spans="1:6" x14ac:dyDescent="0.35">
      <c r="A132">
        <v>130.09687113761902</v>
      </c>
      <c r="B132">
        <v>19.05</v>
      </c>
      <c r="C132">
        <v>3.1000000000000014</v>
      </c>
      <c r="D132">
        <v>0</v>
      </c>
      <c r="E132">
        <v>22.150000000000002</v>
      </c>
      <c r="F132">
        <v>0.32587985928181007</v>
      </c>
    </row>
    <row r="133" spans="1:6" x14ac:dyDescent="0.35">
      <c r="A133">
        <v>131.06044793128967</v>
      </c>
      <c r="B133">
        <v>15.51</v>
      </c>
      <c r="C133">
        <v>3.0999999999999979</v>
      </c>
      <c r="D133">
        <v>0</v>
      </c>
      <c r="E133">
        <v>18.61</v>
      </c>
      <c r="F133">
        <v>0.43361734452525902</v>
      </c>
    </row>
    <row r="134" spans="1:6" x14ac:dyDescent="0.35">
      <c r="A134">
        <v>132.0843710899353</v>
      </c>
      <c r="B134">
        <v>15.690000000000001</v>
      </c>
      <c r="C134">
        <v>2.1999999999999993</v>
      </c>
      <c r="D134">
        <v>0</v>
      </c>
      <c r="E134">
        <v>17.89</v>
      </c>
      <c r="F134">
        <v>0.4555300533883333</v>
      </c>
    </row>
    <row r="135" spans="1:6" x14ac:dyDescent="0.35">
      <c r="A135">
        <v>133.09152507781982</v>
      </c>
      <c r="B135">
        <v>16.87777777777778</v>
      </c>
      <c r="C135">
        <v>1.5</v>
      </c>
      <c r="D135">
        <v>10</v>
      </c>
      <c r="E135">
        <v>38.37777777777778</v>
      </c>
      <c r="F135">
        <v>0</v>
      </c>
    </row>
    <row r="136" spans="1:6" x14ac:dyDescent="0.35">
      <c r="A136">
        <v>134.08292603492737</v>
      </c>
      <c r="B136">
        <v>14.84</v>
      </c>
      <c r="C136">
        <v>1.1000000000000014</v>
      </c>
      <c r="D136">
        <v>0</v>
      </c>
      <c r="E136">
        <v>15.940000000000001</v>
      </c>
      <c r="F136">
        <v>0.51487697322582626</v>
      </c>
    </row>
    <row r="137" spans="1:6" x14ac:dyDescent="0.35">
      <c r="A137">
        <v>135.07041501998901</v>
      </c>
      <c r="B137">
        <v>26.27</v>
      </c>
      <c r="C137">
        <v>4.6999999999999993</v>
      </c>
      <c r="D137">
        <v>0</v>
      </c>
      <c r="E137">
        <v>30.97</v>
      </c>
      <c r="F137">
        <v>5.7449175709149536E-2</v>
      </c>
    </row>
    <row r="138" spans="1:6" x14ac:dyDescent="0.35">
      <c r="A138">
        <v>136.11119604110718</v>
      </c>
      <c r="B138">
        <v>17.41</v>
      </c>
      <c r="C138">
        <v>4.3999999999999986</v>
      </c>
      <c r="D138">
        <v>0</v>
      </c>
      <c r="E138">
        <v>21.81</v>
      </c>
      <c r="F138">
        <v>0.33622752735603978</v>
      </c>
    </row>
    <row r="139" spans="1:6" x14ac:dyDescent="0.35">
      <c r="A139">
        <v>137.13198709487915</v>
      </c>
      <c r="B139">
        <v>19.73</v>
      </c>
      <c r="C139">
        <v>5.8999999999999986</v>
      </c>
      <c r="D139">
        <v>0</v>
      </c>
      <c r="E139">
        <v>25.63</v>
      </c>
      <c r="F139">
        <v>0.21996843311028424</v>
      </c>
    </row>
    <row r="140" spans="1:6" x14ac:dyDescent="0.35">
      <c r="A140">
        <v>138.1257221698761</v>
      </c>
      <c r="B140">
        <v>11.655250000000001</v>
      </c>
      <c r="C140">
        <v>1</v>
      </c>
      <c r="D140">
        <v>20</v>
      </c>
      <c r="E140">
        <v>52.655250000000002</v>
      </c>
      <c r="F140">
        <v>0</v>
      </c>
    </row>
    <row r="141" spans="1:6" x14ac:dyDescent="0.35">
      <c r="A141">
        <v>139.13045501708984</v>
      </c>
      <c r="B141">
        <v>7.5499999999999998E-2</v>
      </c>
      <c r="C141">
        <v>1.6E-2</v>
      </c>
      <c r="D141">
        <v>0</v>
      </c>
      <c r="E141">
        <v>9.1499999999999998E-2</v>
      </c>
      <c r="F141">
        <v>0.99721525991531768</v>
      </c>
    </row>
    <row r="142" spans="1:6" x14ac:dyDescent="0.35">
      <c r="A142">
        <v>140.12756514549255</v>
      </c>
      <c r="B142">
        <v>0.14430000000000001</v>
      </c>
      <c r="C142">
        <v>0.09</v>
      </c>
      <c r="D142">
        <v>0</v>
      </c>
      <c r="E142">
        <v>0.23430000000000001</v>
      </c>
      <c r="F142">
        <v>0.99286923932414117</v>
      </c>
    </row>
    <row r="143" spans="1:6" x14ac:dyDescent="0.35">
      <c r="A143">
        <v>141.12764692306519</v>
      </c>
      <c r="B143">
        <v>0.13789999999999999</v>
      </c>
      <c r="C143">
        <v>3.8000000000000006E-2</v>
      </c>
      <c r="D143">
        <v>0</v>
      </c>
      <c r="E143">
        <v>0.1759</v>
      </c>
      <c r="F143">
        <v>0.99464660348747946</v>
      </c>
    </row>
    <row r="144" spans="1:6" x14ac:dyDescent="0.35">
      <c r="A144">
        <v>142.12383818626404</v>
      </c>
      <c r="B144">
        <v>9.0700000000000003E-2</v>
      </c>
      <c r="C144">
        <v>1.6E-2</v>
      </c>
      <c r="D144">
        <v>0</v>
      </c>
      <c r="E144">
        <v>0.1067</v>
      </c>
      <c r="F144">
        <v>0.9967526582837638</v>
      </c>
    </row>
    <row r="145" spans="1:6" x14ac:dyDescent="0.35">
      <c r="A145">
        <v>143.13200998306274</v>
      </c>
      <c r="B145">
        <v>0.13400000000000001</v>
      </c>
      <c r="C145">
        <v>7.3000000000000009E-2</v>
      </c>
      <c r="D145">
        <v>0</v>
      </c>
      <c r="E145">
        <v>0.20700000000000002</v>
      </c>
      <c r="F145">
        <v>0.99370009620186617</v>
      </c>
    </row>
    <row r="146" spans="1:6" x14ac:dyDescent="0.35">
      <c r="A146">
        <v>144.12446403503418</v>
      </c>
      <c r="B146">
        <v>6.9800000000000001E-2</v>
      </c>
      <c r="C146">
        <v>1.3999999999999999E-2</v>
      </c>
      <c r="D146">
        <v>0</v>
      </c>
      <c r="E146">
        <v>8.3799999999999999E-2</v>
      </c>
      <c r="F146">
        <v>0.99744960416288109</v>
      </c>
    </row>
    <row r="147" spans="1:6" x14ac:dyDescent="0.35">
      <c r="A147">
        <v>145.15564918518066</v>
      </c>
      <c r="B147">
        <v>0.17130000000000001</v>
      </c>
      <c r="C147">
        <v>7.6000000000000012E-2</v>
      </c>
      <c r="D147">
        <v>0</v>
      </c>
      <c r="E147">
        <v>0.24730000000000002</v>
      </c>
      <c r="F147">
        <v>0.99247359319189132</v>
      </c>
    </row>
    <row r="148" spans="1:6" x14ac:dyDescent="0.35">
      <c r="A148">
        <v>146.15975093841553</v>
      </c>
      <c r="B148">
        <v>0.11239999999999999</v>
      </c>
      <c r="C148">
        <v>1.2000000000000004E-2</v>
      </c>
      <c r="D148">
        <v>0</v>
      </c>
      <c r="E148">
        <v>0.12439999999999998</v>
      </c>
      <c r="F148">
        <v>0.99621397085754659</v>
      </c>
    </row>
    <row r="149" spans="1:6" x14ac:dyDescent="0.35">
      <c r="A149">
        <v>147.15477085113525</v>
      </c>
      <c r="B149">
        <v>0.1132</v>
      </c>
      <c r="C149">
        <v>4.7E-2</v>
      </c>
      <c r="D149">
        <v>0</v>
      </c>
      <c r="E149">
        <v>0.16020000000000001</v>
      </c>
      <c r="F149">
        <v>0.99512442227796594</v>
      </c>
    </row>
    <row r="150" spans="1:6" x14ac:dyDescent="0.35">
      <c r="A150">
        <v>148.19829511642456</v>
      </c>
      <c r="B150">
        <v>0.12350000000000001</v>
      </c>
      <c r="C150">
        <v>4.4000000000000011E-2</v>
      </c>
      <c r="D150">
        <v>0</v>
      </c>
      <c r="E150">
        <v>0.16750000000000004</v>
      </c>
      <c r="F150">
        <v>0.99490225175754865</v>
      </c>
    </row>
    <row r="151" spans="1:6" x14ac:dyDescent="0.35">
      <c r="A151">
        <v>149.18807101249695</v>
      </c>
      <c r="B151">
        <v>0.1336</v>
      </c>
      <c r="C151">
        <v>6.3E-2</v>
      </c>
      <c r="D151">
        <v>0</v>
      </c>
      <c r="E151">
        <v>0.1966</v>
      </c>
      <c r="F151">
        <v>0.99401661310766609</v>
      </c>
    </row>
    <row r="152" spans="1:6" x14ac:dyDescent="0.35">
      <c r="A152">
        <v>150.18243312835693</v>
      </c>
      <c r="B152">
        <v>0.1193</v>
      </c>
      <c r="C152">
        <v>4.5999999999999985E-2</v>
      </c>
      <c r="D152">
        <v>0</v>
      </c>
      <c r="E152">
        <v>0.1653</v>
      </c>
      <c r="F152">
        <v>0.99496920725685256</v>
      </c>
    </row>
    <row r="153" spans="1:6" x14ac:dyDescent="0.35">
      <c r="A153">
        <v>151.18509101867676</v>
      </c>
      <c r="B153">
        <v>0.1268</v>
      </c>
      <c r="C153">
        <v>1.8000000000000002E-2</v>
      </c>
      <c r="D153">
        <v>0</v>
      </c>
      <c r="E153">
        <v>0.14479999999999998</v>
      </c>
      <c r="F153">
        <v>0.99559311077309287</v>
      </c>
    </row>
    <row r="154" spans="1:6" x14ac:dyDescent="0.35">
      <c r="A154">
        <v>152.16926097869873</v>
      </c>
      <c r="B154">
        <v>0.18680000000000002</v>
      </c>
      <c r="C154">
        <v>8.3999999999999991E-2</v>
      </c>
      <c r="D154">
        <v>0</v>
      </c>
      <c r="E154">
        <v>0.27080000000000004</v>
      </c>
      <c r="F154">
        <v>0.99175838672205485</v>
      </c>
    </row>
    <row r="155" spans="1:6" x14ac:dyDescent="0.35">
      <c r="A155">
        <v>153.15879416465759</v>
      </c>
      <c r="B155">
        <v>0.1893</v>
      </c>
      <c r="C155">
        <v>0.10499999999999998</v>
      </c>
      <c r="D155">
        <v>0</v>
      </c>
      <c r="E155">
        <v>0.29430000000000001</v>
      </c>
      <c r="F155">
        <v>0.99104318025221838</v>
      </c>
    </row>
    <row r="156" spans="1:6" x14ac:dyDescent="0.35">
      <c r="A156">
        <v>154.16816210746765</v>
      </c>
      <c r="B156">
        <v>0.13940000000000002</v>
      </c>
      <c r="C156">
        <v>5.9000000000000011E-2</v>
      </c>
      <c r="D156">
        <v>0</v>
      </c>
      <c r="E156">
        <v>0.19840000000000002</v>
      </c>
      <c r="F156">
        <v>0.99396183133550842</v>
      </c>
    </row>
    <row r="157" spans="1:6" x14ac:dyDescent="0.35">
      <c r="A157">
        <v>155.16126894950867</v>
      </c>
      <c r="B157">
        <v>0.20830000000000001</v>
      </c>
      <c r="C157">
        <v>0.11700000000000001</v>
      </c>
      <c r="D157">
        <v>0</v>
      </c>
      <c r="E157">
        <v>0.32530000000000003</v>
      </c>
      <c r="F157">
        <v>0.99009971639839156</v>
      </c>
    </row>
    <row r="158" spans="1:6" x14ac:dyDescent="0.35">
      <c r="A158">
        <v>156.18655300140381</v>
      </c>
      <c r="B158">
        <v>0.1678</v>
      </c>
      <c r="C158">
        <v>8.5999999999999993E-2</v>
      </c>
      <c r="D158">
        <v>0</v>
      </c>
      <c r="E158">
        <v>0.25380000000000003</v>
      </c>
      <c r="F158">
        <v>0.99227577012576629</v>
      </c>
    </row>
    <row r="159" spans="1:6" x14ac:dyDescent="0.35">
      <c r="A159">
        <v>157.17354607582092</v>
      </c>
      <c r="B159">
        <v>0.13269999999999998</v>
      </c>
      <c r="C159">
        <v>3.4000000000000002E-2</v>
      </c>
      <c r="D159">
        <v>0</v>
      </c>
      <c r="E159">
        <v>0.16669999999999999</v>
      </c>
      <c r="F159">
        <v>0.99492659921184101</v>
      </c>
    </row>
    <row r="160" spans="1:6" x14ac:dyDescent="0.35">
      <c r="A160">
        <v>158.26267004013062</v>
      </c>
      <c r="B160">
        <v>0.1636</v>
      </c>
      <c r="C160">
        <v>5.3000000000000005E-2</v>
      </c>
      <c r="D160">
        <v>0</v>
      </c>
      <c r="E160">
        <v>0.21660000000000001</v>
      </c>
      <c r="F160">
        <v>0.99340792675035849</v>
      </c>
    </row>
    <row r="161" spans="1:6" x14ac:dyDescent="0.35">
      <c r="A161">
        <v>159.18952894210815</v>
      </c>
      <c r="B161">
        <v>0.15229999999999999</v>
      </c>
      <c r="C161">
        <v>3.1E-2</v>
      </c>
      <c r="D161">
        <v>0</v>
      </c>
      <c r="E161">
        <v>0.18329999999999999</v>
      </c>
      <c r="F161">
        <v>0.9944213895352757</v>
      </c>
    </row>
    <row r="162" spans="1:6" x14ac:dyDescent="0.35">
      <c r="A162">
        <v>160.25813817977905</v>
      </c>
      <c r="B162">
        <v>0.11080000000000001</v>
      </c>
      <c r="C162">
        <v>3.3000000000000002E-2</v>
      </c>
      <c r="D162">
        <v>0</v>
      </c>
      <c r="E162">
        <v>0.14380000000000001</v>
      </c>
      <c r="F162">
        <v>0.99562354509095818</v>
      </c>
    </row>
    <row r="163" spans="1:6" x14ac:dyDescent="0.35">
      <c r="A163">
        <v>161.18615102767944</v>
      </c>
      <c r="B163">
        <v>0.13669999999999999</v>
      </c>
      <c r="C163">
        <v>4.7000000000000014E-2</v>
      </c>
      <c r="D163">
        <v>0</v>
      </c>
      <c r="E163">
        <v>0.1837</v>
      </c>
      <c r="F163">
        <v>0.99440921580812947</v>
      </c>
    </row>
    <row r="164" spans="1:6" x14ac:dyDescent="0.35">
      <c r="A164">
        <v>162.27602601051331</v>
      </c>
      <c r="B164">
        <v>0.16039999999999999</v>
      </c>
      <c r="C164">
        <v>1.4000000000000012E-2</v>
      </c>
      <c r="D164">
        <v>0</v>
      </c>
      <c r="E164">
        <v>0.1744</v>
      </c>
      <c r="F164">
        <v>0.9946922549642776</v>
      </c>
    </row>
    <row r="165" spans="1:6" x14ac:dyDescent="0.35">
      <c r="A165">
        <v>163.25477194786072</v>
      </c>
      <c r="B165">
        <v>0.17880000000000001</v>
      </c>
      <c r="C165">
        <v>5.5999999999999994E-2</v>
      </c>
      <c r="D165">
        <v>0</v>
      </c>
      <c r="E165">
        <v>0.23480000000000001</v>
      </c>
      <c r="F165">
        <v>0.99285402216520857</v>
      </c>
    </row>
    <row r="166" spans="1:6" x14ac:dyDescent="0.35">
      <c r="A166">
        <v>164.28515100479126</v>
      </c>
      <c r="B166">
        <v>0.13899999999999998</v>
      </c>
      <c r="C166">
        <v>2.4000000000000007E-2</v>
      </c>
      <c r="D166">
        <v>0</v>
      </c>
      <c r="E166">
        <v>0.16299999999999998</v>
      </c>
      <c r="F166">
        <v>0.99503920618794295</v>
      </c>
    </row>
  </sheetData>
  <mergeCells count="6">
    <mergeCell ref="H3:K3"/>
    <mergeCell ref="H8:K8"/>
    <mergeCell ref="H9:I9"/>
    <mergeCell ref="H10:I10"/>
    <mergeCell ref="J9:K9"/>
    <mergeCell ref="J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LOZANO CASERO</cp:lastModifiedBy>
  <dcterms:created xsi:type="dcterms:W3CDTF">2026-06-18T08:30:02Z</dcterms:created>
  <dcterms:modified xsi:type="dcterms:W3CDTF">2026-06-18T08:30:02Z</dcterms:modified>
</cp:coreProperties>
</file>